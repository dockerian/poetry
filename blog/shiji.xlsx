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asonzhu/gh/dockerian/poetry/blog/"/>
    </mc:Choice>
  </mc:AlternateContent>
  <xr:revisionPtr revIDLastSave="0" documentId="13_ncr:9_{16DE7035-3C5D-C543-80C4-98EB1FDFE25D}" xr6:coauthVersionLast="47" xr6:coauthVersionMax="47" xr10:uidLastSave="{00000000-0000-0000-0000-000000000000}"/>
  <bookViews>
    <workbookView xWindow="6940" yWindow="620" windowWidth="26920" windowHeight="21260" xr2:uid="{035C77B4-2818-3C48-B742-D782783FD081}"/>
  </bookViews>
  <sheets>
    <sheet name="mulu" sheetId="1" r:id="rId1"/>
    <sheet name="Pivot" sheetId="4" r:id="rId2"/>
    <sheet name="Chart" sheetId="2" r:id="rId3"/>
  </sheets>
  <definedNames>
    <definedName name="_xlnm._FilterDatabase" localSheetId="1" hidden="1">Pivot!#REF!</definedName>
    <definedName name="_xlnm.Print_Area" localSheetId="2">Chart!$A$1:$J$30</definedName>
    <definedName name="_xlnm.Print_Area" localSheetId="0">mulu!$A$1:$K$215</definedName>
    <definedName name="_xlnm.Print_Titles" localSheetId="0">mulu!$1:$1</definedName>
  </definedNames>
  <calcPr calcId="191029"/>
  <pivotCaches>
    <pivotCache cacheId="95" r:id="rId4"/>
    <pivotCache cacheId="103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K181" i="1" l="1"/>
  <c r="I181" i="1"/>
  <c r="K216" i="1"/>
  <c r="I216" i="1"/>
  <c r="K215" i="1"/>
  <c r="K217" i="1"/>
  <c r="I217" i="1"/>
  <c r="I218" i="1"/>
  <c r="K218" i="1"/>
  <c r="I2" i="1"/>
  <c r="K2" i="1"/>
  <c r="I3" i="1"/>
  <c r="K3" i="1"/>
  <c r="I4" i="1"/>
  <c r="K4" i="1"/>
  <c r="I5" i="1"/>
  <c r="K5" i="1"/>
  <c r="I6" i="1"/>
  <c r="K6" i="1"/>
  <c r="I7" i="1"/>
  <c r="K7" i="1"/>
  <c r="I8" i="1"/>
  <c r="K8" i="1"/>
  <c r="I9" i="1"/>
  <c r="K9" i="1"/>
  <c r="I10" i="1"/>
  <c r="K10" i="1"/>
  <c r="I11" i="1"/>
  <c r="K11" i="1"/>
  <c r="I12" i="1"/>
  <c r="K12" i="1"/>
  <c r="I13" i="1"/>
  <c r="K13" i="1"/>
  <c r="I14" i="1"/>
  <c r="K14" i="1"/>
  <c r="I15" i="1"/>
  <c r="K15" i="1"/>
  <c r="I16" i="1"/>
  <c r="K16" i="1"/>
  <c r="I17" i="1"/>
  <c r="K17" i="1"/>
  <c r="I18" i="1"/>
  <c r="K18" i="1"/>
  <c r="I19" i="1"/>
  <c r="K19" i="1"/>
  <c r="I20" i="1"/>
  <c r="K20" i="1"/>
  <c r="I21" i="1"/>
  <c r="K21" i="1"/>
  <c r="I22" i="1"/>
  <c r="K22" i="1"/>
  <c r="I23" i="1"/>
  <c r="K23" i="1"/>
  <c r="I24" i="1"/>
  <c r="K24" i="1"/>
  <c r="I25" i="1"/>
  <c r="K25" i="1"/>
  <c r="I26" i="1"/>
  <c r="K26" i="1"/>
  <c r="I27" i="1"/>
  <c r="K27" i="1"/>
  <c r="I28" i="1"/>
  <c r="K28" i="1"/>
  <c r="I29" i="1"/>
  <c r="K29" i="1"/>
  <c r="I30" i="1"/>
  <c r="K30" i="1"/>
  <c r="I31" i="1"/>
  <c r="K31" i="1"/>
  <c r="I32" i="1"/>
  <c r="K32" i="1"/>
  <c r="I33" i="1"/>
  <c r="K33" i="1"/>
  <c r="I34" i="1"/>
  <c r="K34" i="1"/>
  <c r="I35" i="1"/>
  <c r="K35" i="1"/>
  <c r="I36" i="1"/>
  <c r="K36" i="1"/>
  <c r="I37" i="1"/>
  <c r="K37" i="1"/>
  <c r="I38" i="1"/>
  <c r="K38" i="1"/>
  <c r="I39" i="1"/>
  <c r="K39" i="1"/>
  <c r="I40" i="1"/>
  <c r="K40" i="1"/>
  <c r="I41" i="1"/>
  <c r="K41" i="1"/>
  <c r="I42" i="1"/>
  <c r="K42" i="1"/>
  <c r="I43" i="1"/>
  <c r="K43" i="1"/>
  <c r="I44" i="1"/>
  <c r="K44" i="1"/>
  <c r="I45" i="1"/>
  <c r="K45" i="1"/>
  <c r="I46" i="1"/>
  <c r="K46" i="1"/>
  <c r="I47" i="1"/>
  <c r="K47" i="1"/>
  <c r="I48" i="1"/>
  <c r="K48" i="1"/>
  <c r="I49" i="1"/>
  <c r="K49" i="1"/>
  <c r="I50" i="1"/>
  <c r="K50" i="1"/>
  <c r="I51" i="1"/>
  <c r="K51" i="1"/>
  <c r="I52" i="1"/>
  <c r="K52" i="1"/>
  <c r="I53" i="1"/>
  <c r="K53" i="1"/>
  <c r="I54" i="1"/>
  <c r="K54" i="1"/>
  <c r="I55" i="1"/>
  <c r="K55" i="1"/>
  <c r="I56" i="1"/>
  <c r="K56" i="1"/>
  <c r="I57" i="1"/>
  <c r="K57" i="1"/>
  <c r="I58" i="1"/>
  <c r="K58" i="1"/>
  <c r="I59" i="1"/>
  <c r="K59" i="1"/>
  <c r="I60" i="1"/>
  <c r="K60" i="1"/>
  <c r="I61" i="1"/>
  <c r="K61" i="1"/>
  <c r="I62" i="1"/>
  <c r="K62" i="1"/>
  <c r="I63" i="1"/>
  <c r="K63" i="1"/>
  <c r="I64" i="1"/>
  <c r="K64" i="1"/>
  <c r="I65" i="1"/>
  <c r="K65" i="1"/>
  <c r="I66" i="1"/>
  <c r="K66" i="1"/>
  <c r="I67" i="1"/>
  <c r="K67" i="1"/>
  <c r="I68" i="1"/>
  <c r="K68" i="1"/>
  <c r="I69" i="1"/>
  <c r="K69" i="1"/>
  <c r="I70" i="1"/>
  <c r="K70" i="1"/>
  <c r="I71" i="1"/>
  <c r="K71" i="1"/>
  <c r="I72" i="1"/>
  <c r="K72" i="1"/>
  <c r="I73" i="1"/>
  <c r="K73" i="1"/>
  <c r="I74" i="1"/>
  <c r="K74" i="1"/>
  <c r="I75" i="1"/>
  <c r="K75" i="1"/>
  <c r="I76" i="1"/>
  <c r="K76" i="1"/>
  <c r="I77" i="1"/>
  <c r="K77" i="1"/>
  <c r="I78" i="1"/>
  <c r="K78" i="1"/>
  <c r="I79" i="1"/>
  <c r="K79" i="1"/>
  <c r="I80" i="1"/>
  <c r="K80" i="1"/>
  <c r="I81" i="1"/>
  <c r="K81" i="1"/>
  <c r="I82" i="1"/>
  <c r="K82" i="1"/>
  <c r="I83" i="1"/>
  <c r="K83" i="1"/>
  <c r="I84" i="1"/>
  <c r="K84" i="1"/>
  <c r="I85" i="1"/>
  <c r="K85" i="1"/>
  <c r="I86" i="1"/>
  <c r="K86" i="1"/>
  <c r="I87" i="1"/>
  <c r="K87" i="1"/>
  <c r="I88" i="1"/>
  <c r="K88" i="1"/>
  <c r="I89" i="1"/>
  <c r="K89" i="1"/>
  <c r="I90" i="1"/>
  <c r="K90" i="1"/>
  <c r="I91" i="1"/>
  <c r="K91" i="1"/>
  <c r="I92" i="1"/>
  <c r="K92" i="1"/>
  <c r="I93" i="1"/>
  <c r="K93" i="1"/>
  <c r="I94" i="1"/>
  <c r="K94" i="1"/>
  <c r="I95" i="1"/>
  <c r="K95" i="1"/>
  <c r="I96" i="1"/>
  <c r="K96" i="1"/>
  <c r="I97" i="1"/>
  <c r="K97" i="1"/>
  <c r="I98" i="1"/>
  <c r="K98" i="1"/>
  <c r="I99" i="1"/>
  <c r="K99" i="1"/>
  <c r="I100" i="1"/>
  <c r="K100" i="1"/>
  <c r="I101" i="1"/>
  <c r="K101" i="1"/>
  <c r="I102" i="1"/>
  <c r="K102" i="1"/>
  <c r="I103" i="1"/>
  <c r="K103" i="1"/>
  <c r="I104" i="1"/>
  <c r="K104" i="1"/>
  <c r="I105" i="1"/>
  <c r="K105" i="1"/>
  <c r="I106" i="1"/>
  <c r="K106" i="1"/>
  <c r="I107" i="1"/>
  <c r="K107" i="1"/>
  <c r="I108" i="1"/>
  <c r="K108" i="1"/>
  <c r="I109" i="1"/>
  <c r="K109" i="1"/>
  <c r="I110" i="1"/>
  <c r="K110" i="1"/>
  <c r="I111" i="1"/>
  <c r="K111" i="1"/>
  <c r="I112" i="1"/>
  <c r="K112" i="1"/>
  <c r="I113" i="1"/>
  <c r="K113" i="1"/>
  <c r="I114" i="1"/>
  <c r="K114" i="1"/>
  <c r="I115" i="1"/>
  <c r="K115" i="1"/>
  <c r="I116" i="1"/>
  <c r="K116" i="1"/>
  <c r="I117" i="1"/>
  <c r="K117" i="1"/>
  <c r="I118" i="1"/>
  <c r="K118" i="1"/>
  <c r="I119" i="1"/>
  <c r="K119" i="1"/>
  <c r="I120" i="1"/>
  <c r="K120" i="1"/>
  <c r="I121" i="1"/>
  <c r="K121" i="1"/>
  <c r="I122" i="1"/>
  <c r="K122" i="1"/>
  <c r="I123" i="1"/>
  <c r="K123" i="1"/>
  <c r="I124" i="1"/>
  <c r="K124" i="1"/>
  <c r="I125" i="1"/>
  <c r="K125" i="1"/>
  <c r="I126" i="1"/>
  <c r="K126" i="1"/>
  <c r="I127" i="1"/>
  <c r="K127" i="1"/>
  <c r="I128" i="1"/>
  <c r="K128" i="1"/>
  <c r="I129" i="1"/>
  <c r="K129" i="1"/>
  <c r="I130" i="1"/>
  <c r="K130" i="1"/>
  <c r="I131" i="1"/>
  <c r="K131" i="1"/>
  <c r="I132" i="1"/>
  <c r="K132" i="1"/>
  <c r="I133" i="1"/>
  <c r="K133" i="1"/>
  <c r="I134" i="1"/>
  <c r="K134" i="1"/>
  <c r="I135" i="1"/>
  <c r="K135" i="1"/>
  <c r="I136" i="1"/>
  <c r="K136" i="1"/>
  <c r="I137" i="1"/>
  <c r="K137" i="1"/>
  <c r="I138" i="1"/>
  <c r="K138" i="1"/>
  <c r="I139" i="1"/>
  <c r="K139" i="1"/>
  <c r="I140" i="1"/>
  <c r="K140" i="1"/>
  <c r="I141" i="1"/>
  <c r="K141" i="1"/>
  <c r="I142" i="1"/>
  <c r="K142" i="1"/>
  <c r="I143" i="1"/>
  <c r="K143" i="1"/>
  <c r="I144" i="1"/>
  <c r="K144" i="1"/>
  <c r="I145" i="1"/>
  <c r="K145" i="1"/>
  <c r="I146" i="1"/>
  <c r="K146" i="1"/>
  <c r="I147" i="1"/>
  <c r="K147" i="1"/>
  <c r="I148" i="1"/>
  <c r="K148" i="1"/>
  <c r="I149" i="1"/>
  <c r="K149" i="1"/>
  <c r="I150" i="1"/>
  <c r="K150" i="1"/>
  <c r="I151" i="1"/>
  <c r="K151" i="1"/>
  <c r="I152" i="1"/>
  <c r="K152" i="1"/>
  <c r="I153" i="1"/>
  <c r="K153" i="1"/>
  <c r="I154" i="1"/>
  <c r="K154" i="1"/>
  <c r="I155" i="1"/>
  <c r="K155" i="1"/>
  <c r="I156" i="1"/>
  <c r="K156" i="1"/>
  <c r="I157" i="1"/>
  <c r="K157" i="1"/>
  <c r="I158" i="1"/>
  <c r="K158" i="1"/>
  <c r="I159" i="1"/>
  <c r="K159" i="1"/>
  <c r="I160" i="1"/>
  <c r="K160" i="1"/>
  <c r="I161" i="1"/>
  <c r="K161" i="1"/>
  <c r="I162" i="1"/>
  <c r="K162" i="1"/>
  <c r="I163" i="1"/>
  <c r="K163" i="1"/>
  <c r="I164" i="1"/>
  <c r="K164" i="1"/>
  <c r="I165" i="1"/>
  <c r="K165" i="1"/>
  <c r="I166" i="1"/>
  <c r="K166" i="1"/>
  <c r="I167" i="1"/>
  <c r="K167" i="1"/>
  <c r="I168" i="1"/>
  <c r="K168" i="1"/>
  <c r="I169" i="1"/>
  <c r="K169" i="1"/>
  <c r="I170" i="1"/>
  <c r="K170" i="1"/>
  <c r="I171" i="1"/>
  <c r="K171" i="1"/>
  <c r="I172" i="1"/>
  <c r="K172" i="1"/>
  <c r="I173" i="1"/>
  <c r="K173" i="1"/>
  <c r="I174" i="1"/>
  <c r="K174" i="1"/>
  <c r="I175" i="1"/>
  <c r="K175" i="1"/>
  <c r="I176" i="1"/>
  <c r="K176" i="1"/>
  <c r="I177" i="1"/>
  <c r="K177" i="1"/>
  <c r="I178" i="1"/>
  <c r="K178" i="1"/>
  <c r="I179" i="1"/>
  <c r="K179" i="1"/>
  <c r="I180" i="1"/>
  <c r="K180" i="1"/>
  <c r="I182" i="1"/>
  <c r="K182" i="1"/>
  <c r="I183" i="1"/>
  <c r="K183" i="1"/>
  <c r="I184" i="1"/>
  <c r="K184" i="1"/>
  <c r="I185" i="1"/>
  <c r="K185" i="1"/>
  <c r="I186" i="1"/>
  <c r="K186" i="1"/>
  <c r="I187" i="1"/>
  <c r="K187" i="1"/>
  <c r="I188" i="1"/>
  <c r="K188" i="1"/>
  <c r="I189" i="1"/>
  <c r="K189" i="1"/>
  <c r="I190" i="1"/>
  <c r="K190" i="1"/>
  <c r="I191" i="1"/>
  <c r="K191" i="1"/>
  <c r="I192" i="1"/>
  <c r="K192" i="1"/>
  <c r="I193" i="1"/>
  <c r="K193" i="1"/>
  <c r="I194" i="1"/>
  <c r="K194" i="1"/>
  <c r="I195" i="1"/>
  <c r="K195" i="1"/>
  <c r="I196" i="1"/>
  <c r="K196" i="1"/>
  <c r="I197" i="1"/>
  <c r="K197" i="1"/>
  <c r="I198" i="1"/>
  <c r="K198" i="1"/>
  <c r="I199" i="1"/>
  <c r="K199" i="1"/>
  <c r="I200" i="1"/>
  <c r="K200" i="1"/>
  <c r="I201" i="1"/>
  <c r="K201" i="1"/>
  <c r="I202" i="1"/>
  <c r="K202" i="1"/>
  <c r="I203" i="1"/>
  <c r="K203" i="1"/>
  <c r="I204" i="1"/>
  <c r="K204" i="1"/>
  <c r="I205" i="1"/>
  <c r="K205" i="1"/>
  <c r="I206" i="1"/>
  <c r="K206" i="1"/>
  <c r="I207" i="1"/>
  <c r="K207" i="1"/>
  <c r="I208" i="1"/>
  <c r="K208" i="1"/>
  <c r="I209" i="1"/>
  <c r="K209" i="1"/>
  <c r="I210" i="1"/>
  <c r="K210" i="1"/>
  <c r="I211" i="1"/>
  <c r="K211" i="1"/>
  <c r="I212" i="1"/>
  <c r="K212" i="1"/>
  <c r="I213" i="1"/>
  <c r="K213" i="1"/>
  <c r="I214" i="1"/>
  <c r="K214" i="1"/>
  <c r="I215" i="1"/>
</calcChain>
</file>

<file path=xl/sharedStrings.xml><?xml version="1.0" encoding="utf-8"?>
<sst xmlns="http://purl.oclc.org/ooxml/spreadsheetml/main" count="1349" uniqueCount="320">
  <si>
    <t>APR</t>
  </si>
  <si>
    <t>SEP</t>
  </si>
  <si>
    <t>AUG</t>
  </si>
  <si>
    <t>OCT</t>
  </si>
  <si>
    <t>FEB</t>
  </si>
  <si>
    <t>MAY</t>
  </si>
  <si>
    <t>JAN</t>
  </si>
  <si>
    <t>NOV</t>
  </si>
  <si>
    <t>JUN</t>
  </si>
  <si>
    <t>DEC</t>
  </si>
  <si>
    <t>MAR</t>
  </si>
  <si>
    <t>JUL</t>
  </si>
  <si>
    <t>#</t>
    <phoneticPr fontId="2" type="noConversion"/>
  </si>
  <si>
    <t>Month</t>
    <phoneticPr fontId="2" type="noConversion"/>
  </si>
  <si>
    <r>
      <rPr>
        <b/>
        <sz val="12"/>
        <color indexed="8"/>
        <rFont val="等线"/>
        <family val="4"/>
        <charset val="134"/>
      </rPr>
      <t>分类</t>
    </r>
    <phoneticPr fontId="2" type="noConversion"/>
  </si>
  <si>
    <r>
      <rPr>
        <b/>
        <sz val="12"/>
        <color indexed="8"/>
        <rFont val="等线"/>
        <family val="4"/>
        <charset val="134"/>
      </rPr>
      <t>格体</t>
    </r>
    <phoneticPr fontId="2" type="noConversion"/>
  </si>
  <si>
    <r>
      <rPr>
        <b/>
        <sz val="12"/>
        <color indexed="8"/>
        <rFont val="等线"/>
        <family val="4"/>
        <charset val="134"/>
      </rPr>
      <t>标题</t>
    </r>
    <phoneticPr fontId="2" type="noConversion"/>
  </si>
  <si>
    <r>
      <rPr>
        <b/>
        <sz val="12"/>
        <color indexed="8"/>
        <rFont val="等线"/>
        <family val="4"/>
        <charset val="134"/>
      </rPr>
      <t>年</t>
    </r>
    <phoneticPr fontId="2" type="noConversion"/>
  </si>
  <si>
    <r>
      <rPr>
        <b/>
        <sz val="12"/>
        <color indexed="8"/>
        <rFont val="等线"/>
        <family val="4"/>
        <charset val="134"/>
      </rPr>
      <t>月份</t>
    </r>
    <phoneticPr fontId="2" type="noConversion"/>
  </si>
  <si>
    <r>
      <rPr>
        <b/>
        <sz val="12"/>
        <color indexed="8"/>
        <rFont val="等线"/>
        <family val="4"/>
        <charset val="134"/>
      </rPr>
      <t>月</t>
    </r>
    <phoneticPr fontId="2" type="noConversion"/>
  </si>
  <si>
    <r>
      <rPr>
        <sz val="12"/>
        <color indexed="8"/>
        <rFont val="等线"/>
        <family val="4"/>
        <charset val="134"/>
      </rPr>
      <t>律诗</t>
    </r>
  </si>
  <si>
    <r>
      <rPr>
        <sz val="12"/>
        <color indexed="8"/>
        <rFont val="等线"/>
        <family val="4"/>
        <charset val="134"/>
      </rPr>
      <t>五律</t>
    </r>
  </si>
  <si>
    <r>
      <rPr>
        <sz val="12"/>
        <color indexed="8"/>
        <rFont val="等线"/>
        <family val="4"/>
        <charset val="134"/>
      </rPr>
      <t>春游鳝溪二首</t>
    </r>
  </si>
  <si>
    <r>
      <rPr>
        <sz val="12"/>
        <color indexed="8"/>
        <rFont val="等线"/>
        <family val="4"/>
        <charset val="134"/>
      </rPr>
      <t>⒋</t>
    </r>
  </si>
  <si>
    <r>
      <rPr>
        <sz val="12"/>
        <color indexed="8"/>
        <rFont val="等线"/>
        <family val="4"/>
        <charset val="134"/>
      </rPr>
      <t>秋游青芝寺二首</t>
    </r>
  </si>
  <si>
    <r>
      <rPr>
        <sz val="12"/>
        <color indexed="8"/>
        <rFont val="等线"/>
        <family val="4"/>
        <charset val="134"/>
      </rPr>
      <t>⒐</t>
    </r>
  </si>
  <si>
    <r>
      <rPr>
        <sz val="12"/>
        <color indexed="8"/>
        <rFont val="等线"/>
        <family val="4"/>
        <charset val="134"/>
      </rPr>
      <t>西湖二首</t>
    </r>
  </si>
  <si>
    <r>
      <rPr>
        <sz val="12"/>
        <color indexed="8"/>
        <rFont val="等线"/>
        <family val="4"/>
        <charset val="134"/>
      </rPr>
      <t>⒏</t>
    </r>
  </si>
  <si>
    <r>
      <rPr>
        <sz val="12"/>
        <color indexed="8"/>
        <rFont val="等线"/>
        <family val="4"/>
        <charset val="134"/>
      </rPr>
      <t>词曲</t>
    </r>
  </si>
  <si>
    <r>
      <rPr>
        <sz val="12"/>
        <color indexed="8"/>
        <rFont val="等线"/>
        <family val="4"/>
        <charset val="134"/>
      </rPr>
      <t>忆江南</t>
    </r>
  </si>
  <si>
    <r>
      <rPr>
        <sz val="12"/>
        <color indexed="8"/>
        <rFont val="等线"/>
        <family val="4"/>
        <charset val="134"/>
      </rPr>
      <t>榕城春</t>
    </r>
  </si>
  <si>
    <r>
      <rPr>
        <sz val="12"/>
        <color indexed="8"/>
        <rFont val="等线"/>
        <family val="4"/>
        <charset val="134"/>
      </rPr>
      <t>采桑子</t>
    </r>
  </si>
  <si>
    <r>
      <rPr>
        <sz val="12"/>
        <color indexed="8"/>
        <rFont val="等线"/>
        <family val="4"/>
        <charset val="134"/>
      </rPr>
      <t>湖趣</t>
    </r>
  </si>
  <si>
    <r>
      <rPr>
        <sz val="12"/>
        <color indexed="8"/>
        <rFont val="等线"/>
        <family val="4"/>
        <charset val="134"/>
      </rPr>
      <t>渔家傲</t>
    </r>
  </si>
  <si>
    <r>
      <rPr>
        <sz val="12"/>
        <color indexed="8"/>
        <rFont val="等线"/>
        <family val="4"/>
        <charset val="134"/>
      </rPr>
      <t>夜雨泊江</t>
    </r>
  </si>
  <si>
    <r>
      <rPr>
        <sz val="12"/>
        <color indexed="8"/>
        <rFont val="等线"/>
        <family val="4"/>
        <charset val="134"/>
      </rPr>
      <t>六洲歌头</t>
    </r>
  </si>
  <si>
    <r>
      <rPr>
        <sz val="12"/>
        <color indexed="8"/>
        <rFont val="等线"/>
        <family val="4"/>
        <charset val="134"/>
      </rPr>
      <t>夕阳西下</t>
    </r>
  </si>
  <si>
    <r>
      <rPr>
        <sz val="12"/>
        <color indexed="8"/>
        <rFont val="等线"/>
        <family val="4"/>
        <charset val="134"/>
      </rPr>
      <t>古诗</t>
    </r>
  </si>
  <si>
    <r>
      <rPr>
        <sz val="12"/>
        <color indexed="8"/>
        <rFont val="等线"/>
        <family val="4"/>
        <charset val="134"/>
      </rPr>
      <t>七言</t>
    </r>
  </si>
  <si>
    <r>
      <rPr>
        <sz val="12"/>
        <color indexed="8"/>
        <rFont val="等线"/>
        <family val="4"/>
        <charset val="134"/>
      </rPr>
      <t>江南感赋、春思、闽浪残昏</t>
    </r>
  </si>
  <si>
    <r>
      <rPr>
        <sz val="12"/>
        <color indexed="8"/>
        <rFont val="等线"/>
        <family val="4"/>
        <charset val="134"/>
      </rPr>
      <t>⒑</t>
    </r>
  </si>
  <si>
    <r>
      <rPr>
        <sz val="12"/>
        <color indexed="8"/>
        <rFont val="等线"/>
        <family val="4"/>
        <charset val="134"/>
      </rPr>
      <t>水仙子</t>
    </r>
  </si>
  <si>
    <r>
      <rPr>
        <sz val="12"/>
        <color indexed="8"/>
        <rFont val="等线"/>
        <family val="4"/>
        <charset val="134"/>
      </rPr>
      <t>除夕</t>
    </r>
  </si>
  <si>
    <r>
      <rPr>
        <sz val="12"/>
        <color indexed="8"/>
        <rFont val="等线"/>
        <family val="4"/>
        <charset val="134"/>
      </rPr>
      <t>⒉</t>
    </r>
  </si>
  <si>
    <r>
      <rPr>
        <sz val="12"/>
        <color indexed="8"/>
        <rFont val="等线"/>
        <family val="4"/>
        <charset val="134"/>
      </rPr>
      <t>菩萨蛮</t>
    </r>
  </si>
  <si>
    <r>
      <rPr>
        <sz val="12"/>
        <color indexed="8"/>
        <rFont val="等线"/>
        <family val="4"/>
        <charset val="134"/>
      </rPr>
      <t>元夕</t>
    </r>
  </si>
  <si>
    <r>
      <rPr>
        <sz val="12"/>
        <color indexed="8"/>
        <rFont val="等线"/>
        <family val="4"/>
        <charset val="134"/>
      </rPr>
      <t>调笑令</t>
    </r>
  </si>
  <si>
    <r>
      <rPr>
        <sz val="12"/>
        <color indexed="8"/>
        <rFont val="等线"/>
        <family val="4"/>
        <charset val="134"/>
      </rPr>
      <t>踏青</t>
    </r>
  </si>
  <si>
    <r>
      <rPr>
        <sz val="12"/>
        <color indexed="8"/>
        <rFont val="等线"/>
        <family val="4"/>
        <charset val="134"/>
      </rPr>
      <t>少年游</t>
    </r>
  </si>
  <si>
    <r>
      <rPr>
        <sz val="12"/>
        <color indexed="8"/>
        <rFont val="等线"/>
        <family val="4"/>
        <charset val="134"/>
      </rPr>
      <t>寄友</t>
    </r>
  </si>
  <si>
    <r>
      <rPr>
        <sz val="12"/>
        <color indexed="8"/>
        <rFont val="等线"/>
        <family val="4"/>
        <charset val="134"/>
      </rPr>
      <t>⒌</t>
    </r>
  </si>
  <si>
    <r>
      <rPr>
        <sz val="12"/>
        <color indexed="8"/>
        <rFont val="等线"/>
        <family val="4"/>
        <charset val="134"/>
      </rPr>
      <t>满江红</t>
    </r>
  </si>
  <si>
    <r>
      <rPr>
        <sz val="12"/>
        <color indexed="8"/>
        <rFont val="等线"/>
        <family val="4"/>
        <charset val="134"/>
      </rPr>
      <t>清明</t>
    </r>
  </si>
  <si>
    <r>
      <rPr>
        <sz val="12"/>
        <color indexed="8"/>
        <rFont val="等线"/>
        <family val="4"/>
        <charset val="134"/>
      </rPr>
      <t>青玉案</t>
    </r>
  </si>
  <si>
    <r>
      <rPr>
        <sz val="12"/>
        <color indexed="8"/>
        <rFont val="等线"/>
        <family val="4"/>
        <charset val="134"/>
      </rPr>
      <t>渔歌子</t>
    </r>
  </si>
  <si>
    <r>
      <rPr>
        <sz val="12"/>
        <color indexed="8"/>
        <rFont val="等线"/>
        <family val="4"/>
        <charset val="134"/>
      </rPr>
      <t>大连风情小记</t>
    </r>
  </si>
  <si>
    <r>
      <rPr>
        <sz val="12"/>
        <color indexed="8"/>
        <rFont val="等线"/>
        <family val="4"/>
        <charset val="134"/>
      </rPr>
      <t>巫山一段雲</t>
    </r>
  </si>
  <si>
    <r>
      <rPr>
        <sz val="12"/>
        <color indexed="8"/>
        <rFont val="等线"/>
        <family val="4"/>
        <charset val="134"/>
      </rPr>
      <t>雲中飞行</t>
    </r>
  </si>
  <si>
    <r>
      <rPr>
        <sz val="12"/>
        <color indexed="8"/>
        <rFont val="等线"/>
        <family val="4"/>
        <charset val="134"/>
      </rPr>
      <t>望海潮</t>
    </r>
  </si>
  <si>
    <r>
      <rPr>
        <sz val="12"/>
        <color indexed="8"/>
        <rFont val="等线"/>
        <family val="4"/>
        <charset val="134"/>
      </rPr>
      <t>旅顺口怀古</t>
    </r>
  </si>
  <si>
    <r>
      <rPr>
        <sz val="12"/>
        <color indexed="8"/>
        <rFont val="等线"/>
        <family val="4"/>
        <charset val="134"/>
      </rPr>
      <t>拜星月慢</t>
    </r>
  </si>
  <si>
    <r>
      <rPr>
        <sz val="12"/>
        <color indexed="8"/>
        <rFont val="等线"/>
        <family val="4"/>
        <charset val="134"/>
      </rPr>
      <t>雨後黄昏，游大连星海公园</t>
    </r>
  </si>
  <si>
    <r>
      <rPr>
        <sz val="12"/>
        <color indexed="8"/>
        <rFont val="等线"/>
        <family val="4"/>
        <charset val="134"/>
      </rPr>
      <t>忆秦娥</t>
    </r>
  </si>
  <si>
    <r>
      <rPr>
        <sz val="12"/>
        <color indexed="8"/>
        <rFont val="等线"/>
        <family val="4"/>
        <charset val="134"/>
      </rPr>
      <t>⒈</t>
    </r>
  </si>
  <si>
    <r>
      <rPr>
        <sz val="12"/>
        <color indexed="8"/>
        <rFont val="等线"/>
        <family val="4"/>
        <charset val="134"/>
      </rPr>
      <t>清明诗钞题後二首</t>
    </r>
  </si>
  <si>
    <r>
      <rPr>
        <sz val="12"/>
        <color indexed="8"/>
        <rFont val="等线"/>
        <family val="4"/>
        <charset val="134"/>
      </rPr>
      <t>寄书友人题後</t>
    </r>
  </si>
  <si>
    <r>
      <rPr>
        <sz val="12"/>
        <color indexed="8"/>
        <rFont val="等线"/>
        <family val="4"/>
        <charset val="134"/>
      </rPr>
      <t>人月圆</t>
    </r>
  </si>
  <si>
    <r>
      <rPr>
        <sz val="12"/>
        <color indexed="8"/>
        <rFont val="等线"/>
        <family val="4"/>
        <charset val="134"/>
      </rPr>
      <t>十五</t>
    </r>
  </si>
  <si>
    <r>
      <rPr>
        <sz val="12"/>
        <color indexed="8"/>
        <rFont val="等线"/>
        <family val="4"/>
        <charset val="134"/>
      </rPr>
      <t>黄山题咏三首</t>
    </r>
  </si>
  <si>
    <r>
      <rPr>
        <sz val="12"/>
        <color indexed="8"/>
        <rFont val="等线"/>
        <family val="4"/>
        <charset val="134"/>
      </rPr>
      <t>黄山抒怀</t>
    </r>
  </si>
  <si>
    <r>
      <rPr>
        <sz val="12"/>
        <color indexed="8"/>
        <rFont val="等线"/>
        <family val="4"/>
        <charset val="134"/>
      </rPr>
      <t>秋怀</t>
    </r>
  </si>
  <si>
    <r>
      <rPr>
        <sz val="12"/>
        <color indexed="8"/>
        <rFont val="等线"/>
        <family val="4"/>
        <charset val="134"/>
      </rPr>
      <t>山中感赋</t>
    </r>
  </si>
  <si>
    <r>
      <rPr>
        <sz val="12"/>
        <color indexed="8"/>
        <rFont val="等线"/>
        <family val="4"/>
        <charset val="134"/>
      </rPr>
      <t>散曲</t>
    </r>
  </si>
  <si>
    <r>
      <rPr>
        <sz val="12"/>
        <color indexed="8"/>
        <rFont val="等线"/>
        <family val="4"/>
        <charset val="134"/>
      </rPr>
      <t>风雲健二首</t>
    </r>
  </si>
  <si>
    <r>
      <rPr>
        <sz val="12"/>
        <color indexed="8"/>
        <rFont val="等线"/>
        <family val="4"/>
        <charset val="134"/>
      </rPr>
      <t>⒒</t>
    </r>
  </si>
  <si>
    <r>
      <rPr>
        <sz val="12"/>
        <color indexed="8"/>
        <rFont val="等线"/>
        <family val="4"/>
        <charset val="134"/>
      </rPr>
      <t>新春试笔</t>
    </r>
  </si>
  <si>
    <r>
      <rPr>
        <sz val="12"/>
        <color indexed="8"/>
        <rFont val="等线"/>
        <family val="4"/>
        <charset val="134"/>
      </rPr>
      <t>夏日龙门涧道中</t>
    </r>
  </si>
  <si>
    <r>
      <rPr>
        <sz val="12"/>
        <color indexed="8"/>
        <rFont val="等线"/>
        <family val="4"/>
        <charset val="134"/>
      </rPr>
      <t>夜雨邀同窗龚学士戏作</t>
    </r>
  </si>
  <si>
    <r>
      <rPr>
        <sz val="12"/>
        <color indexed="8"/>
        <rFont val="等线"/>
        <family val="4"/>
        <charset val="134"/>
      </rPr>
      <t>⒍</t>
    </r>
  </si>
  <si>
    <r>
      <rPr>
        <sz val="12"/>
        <color indexed="8"/>
        <rFont val="等线"/>
        <family val="4"/>
        <charset val="134"/>
      </rPr>
      <t>寒夜别</t>
    </r>
  </si>
  <si>
    <r>
      <rPr>
        <sz val="12"/>
        <color indexed="8"/>
        <rFont val="等线"/>
        <family val="4"/>
        <charset val="134"/>
      </rPr>
      <t>诗歌</t>
    </r>
  </si>
  <si>
    <r>
      <rPr>
        <sz val="12"/>
        <color indexed="8"/>
        <rFont val="等线"/>
        <family val="4"/>
        <charset val="134"/>
      </rPr>
      <t>新韵文诗</t>
    </r>
  </si>
  <si>
    <r>
      <rPr>
        <sz val="12"/>
        <color indexed="8"/>
        <rFont val="等线"/>
        <family val="4"/>
        <charset val="134"/>
      </rPr>
      <t>雪</t>
    </r>
  </si>
  <si>
    <r>
      <rPr>
        <sz val="12"/>
        <color indexed="8"/>
        <rFont val="等线"/>
        <family val="4"/>
        <charset val="134"/>
      </rPr>
      <t>⒓</t>
    </r>
  </si>
  <si>
    <r>
      <rPr>
        <sz val="12"/>
        <color indexed="8"/>
        <rFont val="等线"/>
        <family val="4"/>
        <charset val="134"/>
      </rPr>
      <t>壬申新年赋笔</t>
    </r>
  </si>
  <si>
    <r>
      <rPr>
        <sz val="12"/>
        <color indexed="8"/>
        <rFont val="等线"/>
        <family val="4"/>
        <charset val="134"/>
      </rPr>
      <t>榕城留句</t>
    </r>
  </si>
  <si>
    <r>
      <rPr>
        <sz val="12"/>
        <color indexed="8"/>
        <rFont val="等线"/>
        <family val="4"/>
        <charset val="134"/>
      </rPr>
      <t>⒊</t>
    </r>
  </si>
  <si>
    <r>
      <rPr>
        <sz val="12"/>
        <color indexed="8"/>
        <rFont val="等线"/>
        <family val="4"/>
        <charset val="134"/>
      </rPr>
      <t>夜曲</t>
    </r>
  </si>
  <si>
    <r>
      <rPr>
        <sz val="12"/>
        <color indexed="8"/>
        <rFont val="等线"/>
        <family val="4"/>
        <charset val="134"/>
      </rPr>
      <t>临江仙</t>
    </r>
  </si>
  <si>
    <r>
      <rPr>
        <sz val="12"/>
        <color indexed="8"/>
        <rFont val="等线"/>
        <family val="4"/>
        <charset val="134"/>
      </rPr>
      <t>惜春</t>
    </r>
  </si>
  <si>
    <r>
      <rPr>
        <sz val="12"/>
        <color indexed="8"/>
        <rFont val="等线"/>
        <family val="4"/>
        <charset val="134"/>
      </rPr>
      <t>秋夜二首</t>
    </r>
  </si>
  <si>
    <r>
      <rPr>
        <sz val="12"/>
        <color indexed="8"/>
        <rFont val="等线"/>
        <family val="4"/>
        <charset val="134"/>
      </rPr>
      <t>离情二首</t>
    </r>
  </si>
  <si>
    <r>
      <rPr>
        <sz val="12"/>
        <color indexed="8"/>
        <rFont val="等线"/>
        <family val="4"/>
        <charset val="134"/>
      </rPr>
      <t>集字三首</t>
    </r>
  </si>
  <si>
    <r>
      <rPr>
        <sz val="12"/>
        <color indexed="8"/>
        <rFont val="等线"/>
        <family val="4"/>
        <charset val="134"/>
      </rPr>
      <t>美人</t>
    </r>
  </si>
  <si>
    <r>
      <rPr>
        <sz val="12"/>
        <color indexed="8"/>
        <rFont val="等线"/>
        <family val="4"/>
        <charset val="134"/>
      </rPr>
      <t>留香集六首</t>
    </r>
  </si>
  <si>
    <r>
      <rPr>
        <sz val="12"/>
        <color indexed="8"/>
        <rFont val="等线"/>
        <family val="4"/>
        <charset val="134"/>
      </rPr>
      <t>無题</t>
    </r>
  </si>
  <si>
    <r>
      <rPr>
        <sz val="12"/>
        <color indexed="8"/>
        <rFont val="等线"/>
        <family val="4"/>
        <charset val="134"/>
      </rPr>
      <t>相思</t>
    </r>
  </si>
  <si>
    <r>
      <rPr>
        <sz val="12"/>
        <color indexed="8"/>
        <rFont val="等线"/>
        <family val="4"/>
        <charset val="134"/>
      </rPr>
      <t>客思二首</t>
    </r>
  </si>
  <si>
    <r>
      <rPr>
        <sz val="12"/>
        <color indexed="8"/>
        <rFont val="等线"/>
        <family val="4"/>
        <charset val="134"/>
      </rPr>
      <t>虞美人</t>
    </r>
  </si>
  <si>
    <r>
      <rPr>
        <sz val="12"/>
        <color indexed="8"/>
        <rFont val="等线"/>
        <family val="4"/>
        <charset val="134"/>
      </rPr>
      <t>伤春景</t>
    </r>
  </si>
  <si>
    <r>
      <rPr>
        <sz val="12"/>
        <color indexed="8"/>
        <rFont val="等线"/>
        <family val="4"/>
        <charset val="134"/>
      </rPr>
      <t>画帘</t>
    </r>
  </si>
  <si>
    <r>
      <rPr>
        <sz val="12"/>
        <color indexed="8"/>
        <rFont val="等线"/>
        <family val="4"/>
        <charset val="134"/>
      </rPr>
      <t>春意</t>
    </r>
  </si>
  <si>
    <r>
      <rPr>
        <sz val="12"/>
        <color indexed="8"/>
        <rFont val="等线"/>
        <family val="4"/>
        <charset val="134"/>
      </rPr>
      <t>秋风二首</t>
    </r>
  </si>
  <si>
    <r>
      <rPr>
        <sz val="12"/>
        <color indexed="8"/>
        <rFont val="等线"/>
        <family val="4"/>
        <charset val="134"/>
      </rPr>
      <t>诉春情</t>
    </r>
  </si>
  <si>
    <r>
      <rPr>
        <sz val="12"/>
        <color indexed="8"/>
        <rFont val="等线"/>
        <family val="4"/>
        <charset val="134"/>
      </rPr>
      <t>臨江仙</t>
    </r>
  </si>
  <si>
    <r>
      <rPr>
        <sz val="12"/>
        <color indexed="8"/>
        <rFont val="等线"/>
        <family val="4"/>
        <charset val="134"/>
      </rPr>
      <t>春風＊二首</t>
    </r>
  </si>
  <si>
    <r>
      <rPr>
        <sz val="12"/>
        <color indexed="8"/>
        <rFont val="等线"/>
        <family val="4"/>
        <charset val="134"/>
      </rPr>
      <t>春册集句三首</t>
    </r>
  </si>
  <si>
    <r>
      <rPr>
        <sz val="12"/>
        <color indexed="8"/>
        <rFont val="等线"/>
        <family val="4"/>
        <charset val="134"/>
      </rPr>
      <t>红楼集句</t>
    </r>
  </si>
  <si>
    <r>
      <rPr>
        <sz val="12"/>
        <color indexed="8"/>
        <rFont val="等线"/>
        <family val="4"/>
        <charset val="134"/>
      </rPr>
      <t>西厢二首</t>
    </r>
  </si>
  <si>
    <r>
      <rPr>
        <sz val="12"/>
        <color indexed="8"/>
        <rFont val="等线"/>
        <family val="4"/>
        <charset val="134"/>
      </rPr>
      <t>孤夜五首</t>
    </r>
  </si>
  <si>
    <r>
      <rPr>
        <sz val="12"/>
        <color indexed="8"/>
        <rFont val="等线"/>
        <family val="4"/>
        <charset val="134"/>
      </rPr>
      <t>感赋</t>
    </r>
  </si>
  <si>
    <r>
      <rPr>
        <sz val="12"/>
        <color indexed="8"/>
        <rFont val="等线"/>
        <family val="4"/>
        <charset val="134"/>
      </rPr>
      <t>送别</t>
    </r>
  </si>
  <si>
    <r>
      <rPr>
        <sz val="12"/>
        <color indexed="8"/>
        <rFont val="等线"/>
        <family val="4"/>
        <charset val="134"/>
      </rPr>
      <t>致周琳</t>
    </r>
  </si>
  <si>
    <r>
      <rPr>
        <sz val="12"/>
        <color indexed="8"/>
        <rFont val="等线"/>
        <family val="4"/>
        <charset val="134"/>
      </rPr>
      <t>水调歌头</t>
    </r>
  </si>
  <si>
    <r>
      <rPr>
        <sz val="12"/>
        <color indexed="8"/>
        <rFont val="等线"/>
        <family val="4"/>
        <charset val="134"/>
      </rPr>
      <t>中秋</t>
    </r>
  </si>
  <si>
    <r>
      <rPr>
        <sz val="12"/>
        <color indexed="8"/>
        <rFont val="等线"/>
        <family val="4"/>
        <charset val="134"/>
      </rPr>
      <t>金缕曲</t>
    </r>
  </si>
  <si>
    <r>
      <rPr>
        <sz val="12"/>
        <color indexed="8"/>
        <rFont val="等线"/>
        <family val="4"/>
        <charset val="134"/>
      </rPr>
      <t>中秋寄格格</t>
    </r>
  </si>
  <si>
    <r>
      <rPr>
        <sz val="12"/>
        <color indexed="8"/>
        <rFont val="等线"/>
        <family val="4"/>
        <charset val="134"/>
      </rPr>
      <t>中秋书怀</t>
    </r>
  </si>
  <si>
    <r>
      <rPr>
        <sz val="12"/>
        <color indexed="8"/>
        <rFont val="等线"/>
        <family val="4"/>
        <charset val="134"/>
      </rPr>
      <t>你和雨</t>
    </r>
  </si>
  <si>
    <r>
      <rPr>
        <sz val="12"/>
        <color indexed="8"/>
        <rFont val="等线"/>
        <family val="4"/>
        <charset val="134"/>
      </rPr>
      <t>今夜</t>
    </r>
  </si>
  <si>
    <r>
      <rPr>
        <sz val="12"/>
        <color indexed="8"/>
        <rFont val="等线"/>
        <family val="4"/>
        <charset val="134"/>
      </rPr>
      <t>夏威夷</t>
    </r>
  </si>
  <si>
    <r>
      <rPr>
        <sz val="12"/>
        <color indexed="8"/>
        <rFont val="等线"/>
        <family val="4"/>
        <charset val="134"/>
      </rPr>
      <t>二月登高</t>
    </r>
  </si>
  <si>
    <r>
      <rPr>
        <sz val="12"/>
        <color indexed="8"/>
        <rFont val="等线"/>
        <family val="4"/>
        <charset val="134"/>
      </rPr>
      <t>文联</t>
    </r>
  </si>
  <si>
    <r>
      <rPr>
        <sz val="12"/>
        <color indexed="8"/>
        <rFont val="等线"/>
        <family val="4"/>
        <charset val="134"/>
      </rPr>
      <t>对联</t>
    </r>
  </si>
  <si>
    <r>
      <rPr>
        <sz val="12"/>
        <color indexed="8"/>
        <rFont val="等线"/>
        <family val="4"/>
        <charset val="134"/>
      </rPr>
      <t>同学盛会</t>
    </r>
  </si>
  <si>
    <r>
      <rPr>
        <sz val="12"/>
        <color indexed="8"/>
        <rFont val="等线"/>
        <family val="4"/>
        <charset val="134"/>
      </rPr>
      <t>會東</t>
    </r>
  </si>
  <si>
    <r>
      <rPr>
        <sz val="12"/>
        <color indexed="8"/>
        <rFont val="等线"/>
        <family val="4"/>
        <charset val="134"/>
      </rPr>
      <t>再韻會東</t>
    </r>
  </si>
  <si>
    <r>
      <rPr>
        <sz val="12"/>
        <color indexed="8"/>
        <rFont val="等线"/>
        <family val="4"/>
        <charset val="134"/>
      </rPr>
      <t>春日午後</t>
    </r>
  </si>
  <si>
    <r>
      <rPr>
        <sz val="12"/>
        <color indexed="8"/>
        <rFont val="等线"/>
        <family val="4"/>
        <charset val="134"/>
      </rPr>
      <t>冬夜记梦</t>
    </r>
  </si>
  <si>
    <r>
      <rPr>
        <sz val="12"/>
        <color indexed="8"/>
        <rFont val="等线"/>
        <family val="4"/>
        <charset val="134"/>
      </rPr>
      <t>风雨</t>
    </r>
  </si>
  <si>
    <r>
      <rPr>
        <sz val="12"/>
        <color indexed="8"/>
        <rFont val="等线"/>
        <family val="4"/>
        <charset val="134"/>
      </rPr>
      <t>流言</t>
    </r>
  </si>
  <si>
    <r>
      <rPr>
        <sz val="12"/>
        <color indexed="8"/>
        <rFont val="等线"/>
        <family val="4"/>
        <charset val="134"/>
      </rPr>
      <t>讽言</t>
    </r>
  </si>
  <si>
    <r>
      <rPr>
        <sz val="12"/>
        <color indexed="8"/>
        <rFont val="等线"/>
        <family val="4"/>
        <charset val="134"/>
      </rPr>
      <t>致贺</t>
    </r>
  </si>
  <si>
    <r>
      <rPr>
        <sz val="12"/>
        <color indexed="8"/>
        <rFont val="等线"/>
        <family val="4"/>
        <charset val="134"/>
      </rPr>
      <t>蝶戀花</t>
    </r>
  </si>
  <si>
    <r>
      <rPr>
        <sz val="12"/>
        <color indexed="8"/>
        <rFont val="等线"/>
        <family val="4"/>
        <charset val="134"/>
      </rPr>
      <t>腊雪贺辰致琳儿</t>
    </r>
  </si>
  <si>
    <r>
      <rPr>
        <sz val="12"/>
        <color indexed="8"/>
        <rFont val="等线"/>
        <family val="4"/>
        <charset val="134"/>
      </rPr>
      <t>七律</t>
    </r>
  </si>
  <si>
    <r>
      <rPr>
        <sz val="12"/>
        <color indexed="8"/>
        <rFont val="等线"/>
        <family val="4"/>
        <charset val="134"/>
      </rPr>
      <t>中秋二首</t>
    </r>
  </si>
  <si>
    <r>
      <rPr>
        <sz val="12"/>
        <color indexed="8"/>
        <rFont val="等线"/>
        <family val="4"/>
        <charset val="134"/>
      </rPr>
      <t>加勒比游记</t>
    </r>
  </si>
  <si>
    <r>
      <rPr>
        <sz val="12"/>
        <color indexed="8"/>
        <rFont val="等线"/>
        <family val="4"/>
        <charset val="134"/>
      </rPr>
      <t>雪花</t>
    </r>
  </si>
  <si>
    <r>
      <rPr>
        <sz val="12"/>
        <color indexed="8"/>
        <rFont val="等线"/>
        <family val="4"/>
        <charset val="134"/>
      </rPr>
      <t>臘九賀辰</t>
    </r>
  </si>
  <si>
    <r>
      <rPr>
        <sz val="12"/>
        <color indexed="8"/>
        <rFont val="等线"/>
        <family val="4"/>
        <charset val="134"/>
      </rPr>
      <t>串烧网络流行语</t>
    </r>
  </si>
  <si>
    <r>
      <rPr>
        <sz val="12"/>
        <color indexed="8"/>
        <rFont val="等线"/>
        <family val="4"/>
        <charset val="134"/>
      </rPr>
      <t>咏时事</t>
    </r>
  </si>
  <si>
    <r>
      <rPr>
        <sz val="12"/>
        <color indexed="8"/>
        <rFont val="等线"/>
        <family val="4"/>
        <charset val="134"/>
      </rPr>
      <t>己丑中秋同韻二首</t>
    </r>
  </si>
  <si>
    <r>
      <rPr>
        <sz val="12"/>
        <color indexed="8"/>
        <rFont val="等线"/>
        <family val="4"/>
        <charset val="134"/>
      </rPr>
      <t>柏梁體秋韻</t>
    </r>
  </si>
  <si>
    <r>
      <rPr>
        <sz val="12"/>
        <color indexed="8"/>
        <rFont val="等线"/>
        <family val="4"/>
        <charset val="134"/>
      </rPr>
      <t>冬月遠行二首</t>
    </r>
  </si>
  <si>
    <r>
      <rPr>
        <sz val="12"/>
        <color indexed="8"/>
        <rFont val="等线"/>
        <family val="4"/>
        <charset val="134"/>
      </rPr>
      <t>雨中思</t>
    </r>
  </si>
  <si>
    <r>
      <rPr>
        <sz val="12"/>
        <color indexed="8"/>
        <rFont val="等线"/>
        <family val="4"/>
        <charset val="134"/>
      </rPr>
      <t>想念二章（冬雲、冬雨）</t>
    </r>
  </si>
  <si>
    <r>
      <rPr>
        <sz val="12"/>
        <color indexed="8"/>
        <rFont val="等线"/>
        <family val="4"/>
        <charset val="134"/>
      </rPr>
      <t>天净沙</t>
    </r>
  </si>
  <si>
    <r>
      <rPr>
        <sz val="12"/>
        <color indexed="8"/>
        <rFont val="等线"/>
        <family val="4"/>
        <charset val="134"/>
      </rPr>
      <t>斐济十题今韵</t>
    </r>
  </si>
  <si>
    <r>
      <rPr>
        <sz val="12"/>
        <color indexed="8"/>
        <rFont val="等线"/>
        <family val="4"/>
        <charset val="134"/>
      </rPr>
      <t>斐济珊瑚海岸</t>
    </r>
  </si>
  <si>
    <r>
      <rPr>
        <sz val="12"/>
        <color indexed="8"/>
        <rFont val="等线"/>
        <family val="4"/>
        <charset val="134"/>
      </rPr>
      <t>英文诗</t>
    </r>
  </si>
  <si>
    <r>
      <rPr>
        <sz val="12"/>
        <color indexed="8"/>
        <rFont val="等线"/>
        <family val="4"/>
        <charset val="134"/>
      </rPr>
      <t>告别斐济</t>
    </r>
  </si>
  <si>
    <r>
      <rPr>
        <sz val="12"/>
        <color indexed="8"/>
        <rFont val="等线"/>
        <family val="4"/>
        <charset val="134"/>
      </rPr>
      <t>山坡羊</t>
    </r>
  </si>
  <si>
    <r>
      <rPr>
        <sz val="12"/>
        <color indexed="8"/>
        <rFont val="等线"/>
        <family val="4"/>
        <charset val="134"/>
      </rPr>
      <t>西北偏北国家公园二首</t>
    </r>
  </si>
  <si>
    <r>
      <rPr>
        <sz val="12"/>
        <color indexed="8"/>
        <rFont val="等线"/>
        <family val="4"/>
        <charset val="134"/>
      </rPr>
      <t>秋色雷德蒙</t>
    </r>
  </si>
  <si>
    <r>
      <rPr>
        <sz val="12"/>
        <color indexed="8"/>
        <rFont val="等线"/>
        <family val="4"/>
        <charset val="134"/>
      </rPr>
      <t>梦中梦</t>
    </r>
  </si>
  <si>
    <r>
      <rPr>
        <sz val="12"/>
        <color indexed="8"/>
        <rFont val="等线"/>
        <family val="4"/>
        <charset val="134"/>
      </rPr>
      <t>寒雨二首</t>
    </r>
  </si>
  <si>
    <r>
      <rPr>
        <sz val="12"/>
        <color indexed="8"/>
        <rFont val="等线"/>
        <family val="4"/>
        <charset val="134"/>
      </rPr>
      <t>沁園春</t>
    </r>
  </si>
  <si>
    <r>
      <rPr>
        <sz val="12"/>
        <color indexed="8"/>
        <rFont val="等线"/>
        <family val="4"/>
        <charset val="134"/>
      </rPr>
      <t>重懷周公和毛詞原韻</t>
    </r>
  </si>
  <si>
    <r>
      <rPr>
        <sz val="12"/>
        <color indexed="8"/>
        <rFont val="等线"/>
        <family val="4"/>
        <charset val="134"/>
      </rPr>
      <t>晨跑</t>
    </r>
  </si>
  <si>
    <r>
      <rPr>
        <sz val="12"/>
        <color indexed="8"/>
        <rFont val="等线"/>
        <family val="4"/>
        <charset val="134"/>
      </rPr>
      <t>新年伊始</t>
    </r>
  </si>
  <si>
    <r>
      <rPr>
        <sz val="12"/>
        <color indexed="8"/>
        <rFont val="等线"/>
        <family val="4"/>
        <charset val="134"/>
      </rPr>
      <t>夜寻</t>
    </r>
  </si>
  <si>
    <r>
      <rPr>
        <sz val="12"/>
        <color indexed="8"/>
        <rFont val="等线"/>
        <family val="4"/>
        <charset val="134"/>
      </rPr>
      <t>反思（普韻）</t>
    </r>
  </si>
  <si>
    <r>
      <rPr>
        <sz val="12"/>
        <color indexed="8"/>
        <rFont val="等线"/>
        <family val="4"/>
        <charset val="134"/>
      </rPr>
      <t>題四川豆花莊</t>
    </r>
  </si>
  <si>
    <r>
      <rPr>
        <sz val="12"/>
        <color indexed="8"/>
        <rFont val="等线"/>
        <family val="4"/>
        <charset val="134"/>
      </rPr>
      <t>五言</t>
    </r>
  </si>
  <si>
    <r>
      <rPr>
        <sz val="12"/>
        <color indexed="8"/>
        <rFont val="等线"/>
        <family val="4"/>
        <charset val="134"/>
      </rPr>
      <t>梦醒</t>
    </r>
  </si>
  <si>
    <r>
      <rPr>
        <sz val="12"/>
        <color indexed="8"/>
        <rFont val="等线"/>
        <family val="4"/>
        <charset val="134"/>
      </rPr>
      <t>行香子</t>
    </r>
  </si>
  <si>
    <r>
      <rPr>
        <sz val="12"/>
        <color indexed="8"/>
        <rFont val="等线"/>
        <family val="4"/>
        <charset val="134"/>
      </rPr>
      <t>加州行五首</t>
    </r>
  </si>
  <si>
    <r>
      <rPr>
        <sz val="12"/>
        <color indexed="8"/>
        <rFont val="等线"/>
        <family val="4"/>
        <charset val="134"/>
      </rPr>
      <t>蘇克杉山</t>
    </r>
  </si>
  <si>
    <r>
      <rPr>
        <sz val="12"/>
        <color indexed="8"/>
        <rFont val="等线"/>
        <family val="4"/>
        <charset val="134"/>
      </rPr>
      <t>看山三首</t>
    </r>
  </si>
  <si>
    <r>
      <rPr>
        <sz val="12"/>
        <color indexed="8"/>
        <rFont val="等线"/>
        <family val="4"/>
        <charset val="134"/>
      </rPr>
      <t>秋興四首</t>
    </r>
  </si>
  <si>
    <r>
      <rPr>
        <sz val="12"/>
        <color indexed="8"/>
        <rFont val="等线"/>
        <family val="4"/>
        <charset val="134"/>
      </rPr>
      <t>病中</t>
    </r>
  </si>
  <si>
    <r>
      <rPr>
        <sz val="12"/>
        <color indexed="8"/>
        <rFont val="等线"/>
        <family val="4"/>
        <charset val="134"/>
      </rPr>
      <t>火燒天宮（附英文版）</t>
    </r>
  </si>
  <si>
    <r>
      <rPr>
        <sz val="12"/>
        <color indexed="8"/>
        <rFont val="等线"/>
        <family val="4"/>
        <charset val="134"/>
      </rPr>
      <t>雙調憶江南</t>
    </r>
  </si>
  <si>
    <r>
      <rPr>
        <sz val="12"/>
        <color indexed="8"/>
        <rFont val="等线"/>
        <family val="4"/>
        <charset val="134"/>
      </rPr>
      <t>午後春光</t>
    </r>
  </si>
  <si>
    <r>
      <rPr>
        <sz val="12"/>
        <color indexed="8"/>
        <rFont val="等线"/>
        <family val="4"/>
        <charset val="134"/>
      </rPr>
      <t>春分</t>
    </r>
  </si>
  <si>
    <r>
      <rPr>
        <sz val="12"/>
        <color indexed="8"/>
        <rFont val="等线"/>
        <family val="4"/>
        <charset val="134"/>
      </rPr>
      <t>賀新涼</t>
    </r>
  </si>
  <si>
    <r>
      <rPr>
        <sz val="12"/>
        <color indexed="8"/>
        <rFont val="等线"/>
        <family val="4"/>
        <charset val="134"/>
      </rPr>
      <t>小別</t>
    </r>
  </si>
  <si>
    <r>
      <rPr>
        <sz val="12"/>
        <color indexed="8"/>
        <rFont val="等线"/>
        <family val="4"/>
        <charset val="134"/>
      </rPr>
      <t>看雲</t>
    </r>
  </si>
  <si>
    <r>
      <rPr>
        <sz val="12"/>
        <color indexed="8"/>
        <rFont val="等线"/>
        <family val="4"/>
        <charset val="134"/>
      </rPr>
      <t>春雨</t>
    </r>
  </si>
  <si>
    <r>
      <rPr>
        <sz val="12"/>
        <color indexed="8"/>
        <rFont val="等线"/>
        <family val="4"/>
        <charset val="134"/>
      </rPr>
      <t>雅安</t>
    </r>
  </si>
  <si>
    <r>
      <rPr>
        <sz val="12"/>
        <color indexed="8"/>
        <rFont val="等线"/>
        <family val="4"/>
        <charset val="134"/>
      </rPr>
      <t>初夏西雅圖</t>
    </r>
  </si>
  <si>
    <r>
      <rPr>
        <sz val="12"/>
        <color indexed="8"/>
        <rFont val="等线"/>
        <family val="4"/>
        <charset val="134"/>
      </rPr>
      <t>夏入雪峰</t>
    </r>
  </si>
  <si>
    <r>
      <rPr>
        <sz val="12"/>
        <color indexed="8"/>
        <rFont val="等线"/>
        <family val="4"/>
        <charset val="134"/>
      </rPr>
      <t>⒎</t>
    </r>
  </si>
  <si>
    <r>
      <rPr>
        <sz val="12"/>
        <color indexed="8"/>
        <rFont val="等线"/>
        <family val="4"/>
        <charset val="134"/>
      </rPr>
      <t>朝霞</t>
    </r>
  </si>
  <si>
    <r>
      <rPr>
        <sz val="12"/>
        <color indexed="8"/>
        <rFont val="等线"/>
        <family val="4"/>
        <charset val="134"/>
      </rPr>
      <t>秋（二首）</t>
    </r>
  </si>
  <si>
    <r>
      <rPr>
        <sz val="12"/>
        <color indexed="8"/>
        <rFont val="等线"/>
        <family val="4"/>
        <charset val="134"/>
      </rPr>
      <t>冬晴</t>
    </r>
  </si>
  <si>
    <r>
      <rPr>
        <sz val="12"/>
        <color indexed="8"/>
        <rFont val="等线"/>
        <family val="4"/>
        <charset val="134"/>
      </rPr>
      <t>高陽臺</t>
    </r>
  </si>
  <si>
    <r>
      <rPr>
        <sz val="12"/>
        <color indexed="8"/>
        <rFont val="等线"/>
        <family val="4"/>
        <charset val="134"/>
      </rPr>
      <t>写在情人节</t>
    </r>
  </si>
  <si>
    <r>
      <rPr>
        <sz val="12"/>
        <color indexed="8"/>
        <rFont val="等线"/>
        <family val="4"/>
        <charset val="134"/>
      </rPr>
      <t>佛州劳德戴尔机场</t>
    </r>
  </si>
  <si>
    <r>
      <rPr>
        <sz val="12"/>
        <color indexed="8"/>
        <rFont val="等线"/>
        <family val="4"/>
        <charset val="134"/>
      </rPr>
      <t>湖山漫步寄相思</t>
    </r>
  </si>
  <si>
    <r>
      <rPr>
        <sz val="12"/>
        <color indexed="8"/>
        <rFont val="等线"/>
        <family val="4"/>
        <charset val="134"/>
      </rPr>
      <t>早春病中拟句</t>
    </r>
  </si>
  <si>
    <r>
      <rPr>
        <sz val="12"/>
        <color indexed="8"/>
        <rFont val="等线"/>
        <family val="4"/>
        <charset val="134"/>
      </rPr>
      <t>西安謠</t>
    </r>
  </si>
  <si>
    <r>
      <rPr>
        <sz val="12"/>
        <color indexed="8"/>
        <rFont val="等线"/>
        <family val="4"/>
        <charset val="134"/>
      </rPr>
      <t>京城會</t>
    </r>
  </si>
  <si>
    <r>
      <rPr>
        <sz val="12"/>
        <color indexed="8"/>
        <rFont val="等线"/>
        <family val="4"/>
        <charset val="134"/>
      </rPr>
      <t>皖南行</t>
    </r>
  </si>
  <si>
    <r>
      <rPr>
        <sz val="12"/>
        <color indexed="8"/>
        <rFont val="等线"/>
        <family val="4"/>
        <charset val="134"/>
      </rPr>
      <t>俄勒冈海滩</t>
    </r>
  </si>
  <si>
    <r>
      <rPr>
        <sz val="12"/>
        <color indexed="8"/>
        <rFont val="等线"/>
        <family val="4"/>
        <charset val="134"/>
      </rPr>
      <t>週年紀念</t>
    </r>
  </si>
  <si>
    <r>
      <rPr>
        <sz val="12"/>
        <color indexed="8"/>
        <rFont val="等线"/>
        <family val="4"/>
        <charset val="134"/>
      </rPr>
      <t>春天</t>
    </r>
  </si>
  <si>
    <r>
      <rPr>
        <sz val="12"/>
        <color indexed="8"/>
        <rFont val="等线"/>
        <family val="4"/>
        <charset val="134"/>
      </rPr>
      <t>夏威夷可愛島</t>
    </r>
  </si>
  <si>
    <r>
      <rPr>
        <sz val="12"/>
        <color indexed="8"/>
        <rFont val="等线"/>
        <family val="4"/>
        <charset val="134"/>
      </rPr>
      <t>重聚</t>
    </r>
  </si>
  <si>
    <r>
      <rPr>
        <sz val="12"/>
        <color indexed="8"/>
        <rFont val="等线"/>
        <family val="4"/>
        <charset val="134"/>
      </rPr>
      <t>新西蘭</t>
    </r>
  </si>
  <si>
    <r>
      <rPr>
        <sz val="12"/>
        <color indexed="8"/>
        <rFont val="等线"/>
        <family val="4"/>
        <charset val="134"/>
      </rPr>
      <t>新西蘭萬納卡</t>
    </r>
  </si>
  <si>
    <r>
      <rPr>
        <sz val="12"/>
        <color indexed="8"/>
        <rFont val="等线"/>
        <family val="4"/>
        <charset val="134"/>
      </rPr>
      <t>新西蘭懷奧塔普</t>
    </r>
  </si>
  <si>
    <r>
      <rPr>
        <sz val="12"/>
        <color indexed="8"/>
        <rFont val="等线"/>
        <family val="4"/>
        <charset val="134"/>
      </rPr>
      <t>新西蘭南島綠色</t>
    </r>
  </si>
  <si>
    <r>
      <rPr>
        <sz val="12"/>
        <color indexed="8"/>
        <rFont val="等线"/>
        <family val="4"/>
        <charset val="134"/>
      </rPr>
      <t>空留</t>
    </r>
  </si>
  <si>
    <r>
      <rPr>
        <sz val="12"/>
        <color indexed="8"/>
        <rFont val="等线"/>
        <family val="4"/>
        <charset val="134"/>
      </rPr>
      <t>赠周琳</t>
    </r>
  </si>
  <si>
    <r>
      <rPr>
        <sz val="12"/>
        <color indexed="8"/>
        <rFont val="等线"/>
        <family val="4"/>
        <charset val="134"/>
      </rPr>
      <t>残秋</t>
    </r>
  </si>
  <si>
    <r>
      <rPr>
        <sz val="12"/>
        <color indexed="8"/>
        <rFont val="等线"/>
        <family val="4"/>
        <charset val="134"/>
      </rPr>
      <t>记梦之纪念疫情</t>
    </r>
  </si>
  <si>
    <r>
      <rPr>
        <sz val="12"/>
        <color indexed="8"/>
        <rFont val="等线"/>
        <family val="4"/>
        <charset val="134"/>
      </rPr>
      <t>南乡子</t>
    </r>
  </si>
  <si>
    <r>
      <rPr>
        <sz val="12"/>
        <color indexed="8"/>
        <rFont val="等线"/>
        <family val="4"/>
        <charset val="134"/>
      </rPr>
      <t>宇宙往事</t>
    </r>
  </si>
  <si>
    <r>
      <rPr>
        <sz val="12"/>
        <color indexed="8"/>
        <rFont val="等线"/>
        <family val="4"/>
        <charset val="134"/>
      </rPr>
      <t>嫦娥五号奔月归来</t>
    </r>
  </si>
  <si>
    <r>
      <rPr>
        <sz val="12"/>
        <color indexed="8"/>
        <rFont val="等线"/>
        <family val="4"/>
        <charset val="134"/>
      </rPr>
      <t>嫦娥五号</t>
    </r>
  </si>
  <si>
    <r>
      <rPr>
        <sz val="12"/>
        <color indexed="8"/>
        <rFont val="等线"/>
        <family val="4"/>
        <charset val="134"/>
      </rPr>
      <t>论无题绝句</t>
    </r>
  </si>
  <si>
    <r>
      <rPr>
        <sz val="12"/>
        <color indexed="8"/>
        <rFont val="等线"/>
        <family val="4"/>
        <charset val="134"/>
      </rPr>
      <t>新韵杂篇</t>
    </r>
  </si>
  <si>
    <r>
      <rPr>
        <sz val="12"/>
        <color indexed="8"/>
        <rFont val="等线"/>
        <family val="4"/>
        <charset val="134"/>
      </rPr>
      <t>新年感赋</t>
    </r>
  </si>
  <si>
    <r>
      <rPr>
        <sz val="12"/>
        <color indexed="8"/>
        <rFont val="等线"/>
        <family val="4"/>
        <charset val="134"/>
      </rPr>
      <t>祭一月八</t>
    </r>
  </si>
  <si>
    <r>
      <rPr>
        <sz val="12"/>
        <color indexed="8"/>
        <rFont val="等线"/>
        <family val="4"/>
        <charset val="134"/>
      </rPr>
      <t>明宫谋</t>
    </r>
  </si>
  <si>
    <r>
      <rPr>
        <sz val="12"/>
        <color indexed="8"/>
        <rFont val="等线"/>
        <family val="4"/>
        <charset val="134"/>
      </rPr>
      <t>南迁步苏词韵</t>
    </r>
  </si>
  <si>
    <r>
      <rPr>
        <sz val="12"/>
        <color indexed="8"/>
        <rFont val="等线"/>
        <family val="4"/>
        <charset val="134"/>
      </rPr>
      <t>樱花</t>
    </r>
  </si>
  <si>
    <r>
      <rPr>
        <sz val="12"/>
        <color indexed="8"/>
        <rFont val="等线"/>
        <family val="4"/>
        <charset val="134"/>
      </rPr>
      <t>清平乐</t>
    </r>
  </si>
  <si>
    <r>
      <rPr>
        <sz val="12"/>
        <color indexed="8"/>
        <rFont val="等线"/>
        <family val="4"/>
        <charset val="134"/>
      </rPr>
      <t>萨瓦纳</t>
    </r>
  </si>
  <si>
    <r>
      <rPr>
        <sz val="12"/>
        <color indexed="8"/>
        <rFont val="等线"/>
        <family val="4"/>
        <charset val="134"/>
      </rPr>
      <t>夏梦三首</t>
    </r>
  </si>
  <si>
    <r>
      <rPr>
        <sz val="12"/>
        <color indexed="8"/>
        <rFont val="等线"/>
        <family val="4"/>
        <charset val="134"/>
      </rPr>
      <t>空度四首</t>
    </r>
  </si>
  <si>
    <r>
      <rPr>
        <sz val="12"/>
        <color indexed="8"/>
        <rFont val="等线"/>
        <family val="4"/>
        <charset val="134"/>
      </rPr>
      <t>周琳</t>
    </r>
  </si>
  <si>
    <r>
      <rPr>
        <sz val="12"/>
        <color indexed="8"/>
        <rFont val="等线"/>
        <family val="4"/>
        <charset val="134"/>
      </rPr>
      <t>纸上兵</t>
    </r>
  </si>
  <si>
    <r>
      <rPr>
        <sz val="12"/>
        <color indexed="8"/>
        <rFont val="等线"/>
        <family val="4"/>
        <charset val="134"/>
      </rPr>
      <t>读兵法【新韵】</t>
    </r>
  </si>
  <si>
    <r>
      <rPr>
        <sz val="12"/>
        <color indexed="8"/>
        <rFont val="等线"/>
        <family val="4"/>
        <charset val="134"/>
      </rPr>
      <t>读老子【杂韵】</t>
    </r>
  </si>
  <si>
    <r>
      <rPr>
        <sz val="12"/>
        <color indexed="8"/>
        <rFont val="等线"/>
        <family val="4"/>
        <charset val="134"/>
      </rPr>
      <t>读《将夜》集句</t>
    </r>
  </si>
  <si>
    <r>
      <rPr>
        <sz val="12"/>
        <color indexed="8"/>
        <rFont val="等线"/>
        <family val="4"/>
        <charset val="134"/>
      </rPr>
      <t>读书札记</t>
    </r>
  </si>
  <si>
    <r>
      <rPr>
        <sz val="12"/>
        <color indexed="8"/>
        <rFont val="等线"/>
        <family val="4"/>
        <charset val="134"/>
      </rPr>
      <t>归来</t>
    </r>
  </si>
  <si>
    <r>
      <rPr>
        <sz val="12"/>
        <color indexed="8"/>
        <rFont val="等线"/>
        <family val="4"/>
        <charset val="134"/>
      </rPr>
      <t>深圳街中</t>
    </r>
  </si>
  <si>
    <r>
      <rPr>
        <sz val="12"/>
        <color indexed="8"/>
        <rFont val="等线"/>
        <family val="4"/>
        <charset val="134"/>
      </rPr>
      <t>秋景</t>
    </r>
  </si>
  <si>
    <r>
      <rPr>
        <sz val="12"/>
        <color indexed="8"/>
        <rFont val="等线"/>
        <family val="4"/>
        <charset val="134"/>
      </rPr>
      <t>读《重生之药香》</t>
    </r>
  </si>
  <si>
    <r>
      <rPr>
        <sz val="12"/>
        <color indexed="8"/>
        <rFont val="等线"/>
        <family val="4"/>
        <charset val="134"/>
      </rPr>
      <t>寄思</t>
    </r>
  </si>
  <si>
    <r>
      <rPr>
        <sz val="12"/>
        <color indexed="8"/>
        <rFont val="等线"/>
        <family val="4"/>
        <charset val="134"/>
      </rPr>
      <t>读《孺子帝》</t>
    </r>
  </si>
  <si>
    <r>
      <rPr>
        <sz val="12"/>
        <color indexed="8"/>
        <rFont val="等线"/>
        <family val="4"/>
        <charset val="134"/>
      </rPr>
      <t>念奴娇</t>
    </r>
  </si>
  <si>
    <r>
      <rPr>
        <sz val="12"/>
        <color indexed="8"/>
        <rFont val="等线"/>
        <family val="4"/>
        <charset val="134"/>
      </rPr>
      <t>用东坡调</t>
    </r>
  </si>
  <si>
    <r>
      <rPr>
        <sz val="12"/>
        <color indexed="8"/>
        <rFont val="等线"/>
        <family val="4"/>
        <charset val="134"/>
      </rPr>
      <t>周年赋</t>
    </r>
  </si>
  <si>
    <r>
      <rPr>
        <sz val="12"/>
        <color indexed="8"/>
        <rFont val="等线"/>
        <family val="4"/>
        <charset val="134"/>
      </rPr>
      <t>秋野</t>
    </r>
  </si>
  <si>
    <r>
      <rPr>
        <sz val="12"/>
        <color indexed="8"/>
        <rFont val="等线"/>
        <family val="4"/>
        <charset val="134"/>
      </rPr>
      <t>望夜</t>
    </r>
  </si>
  <si>
    <r>
      <rPr>
        <sz val="12"/>
        <color indexed="8"/>
        <rFont val="等线"/>
        <family val="4"/>
        <charset val="134"/>
      </rPr>
      <t>夜雨借佚名诗句</t>
    </r>
  </si>
  <si>
    <r>
      <rPr>
        <sz val="12"/>
        <color indexed="8"/>
        <rFont val="等线"/>
        <family val="4"/>
        <charset val="134"/>
      </rPr>
      <t>读《簪中录》笔记</t>
    </r>
  </si>
  <si>
    <r>
      <rPr>
        <sz val="12"/>
        <color indexed="8"/>
        <rFont val="等线"/>
        <family val="4"/>
        <charset val="134"/>
      </rPr>
      <t>读《三体》</t>
    </r>
  </si>
  <si>
    <r>
      <rPr>
        <sz val="12"/>
        <color indexed="8"/>
        <rFont val="等线"/>
        <family val="4"/>
        <charset val="134"/>
      </rPr>
      <t>读《百妖谱》</t>
    </r>
  </si>
  <si>
    <r>
      <rPr>
        <sz val="12"/>
        <color indexed="8"/>
        <rFont val="等线"/>
        <family val="4"/>
        <charset val="134"/>
      </rPr>
      <t>读史</t>
    </r>
  </si>
  <si>
    <r>
      <rPr>
        <sz val="12"/>
        <color indexed="8"/>
        <rFont val="等线"/>
        <family val="4"/>
        <charset val="134"/>
      </rPr>
      <t>修真</t>
    </r>
  </si>
  <si>
    <r>
      <rPr>
        <sz val="12"/>
        <color indexed="8"/>
        <rFont val="等线"/>
        <family val="4"/>
        <charset val="134"/>
      </rPr>
      <t>杂感</t>
    </r>
  </si>
  <si>
    <r>
      <rPr>
        <sz val="12"/>
        <color indexed="8"/>
        <rFont val="等线"/>
        <family val="4"/>
        <charset val="134"/>
      </rPr>
      <t>雲窗</t>
    </r>
  </si>
  <si>
    <r>
      <rPr>
        <sz val="12"/>
        <color indexed="8"/>
        <rFont val="等线"/>
        <family val="4"/>
        <charset val="134"/>
      </rPr>
      <t>上海外滩</t>
    </r>
  </si>
  <si>
    <r>
      <rPr>
        <sz val="12"/>
        <color indexed="8"/>
        <rFont val="等线"/>
        <family val="4"/>
        <charset val="134"/>
      </rPr>
      <t>福州午後鼓楼东街迹行湖滨路</t>
    </r>
  </si>
  <si>
    <r>
      <rPr>
        <sz val="12"/>
        <color indexed="8"/>
        <rFont val="等线"/>
        <family val="4"/>
        <charset val="134"/>
      </rPr>
      <t>福州行</t>
    </r>
  </si>
  <si>
    <r>
      <rPr>
        <sz val="12"/>
        <color indexed="8"/>
        <rFont val="等线"/>
        <family val="4"/>
        <charset val="134"/>
      </rPr>
      <t>逆旅杂想</t>
    </r>
  </si>
  <si>
    <r>
      <rPr>
        <sz val="12"/>
        <color indexed="8"/>
        <rFont val="等线"/>
        <family val="4"/>
        <charset val="134"/>
      </rPr>
      <t>雲机飞行签</t>
    </r>
  </si>
  <si>
    <r>
      <rPr>
        <sz val="12"/>
        <color indexed="8"/>
        <rFont val="等线"/>
        <family val="4"/>
        <charset val="134"/>
      </rPr>
      <t>夏日病中对湖山</t>
    </r>
  </si>
  <si>
    <r>
      <rPr>
        <sz val="12"/>
        <color indexed="8"/>
        <rFont val="等线"/>
        <family val="4"/>
        <charset val="134"/>
      </rPr>
      <t>读如水意《战争》三部曲</t>
    </r>
  </si>
  <si>
    <r>
      <rPr>
        <sz val="12"/>
        <color indexed="8"/>
        <rFont val="等线"/>
        <family val="4"/>
        <charset val="134"/>
      </rPr>
      <t>读如水意《火力法则》</t>
    </r>
  </si>
  <si>
    <r>
      <rPr>
        <sz val="12"/>
        <color indexed="8"/>
        <rFont val="等线"/>
        <family val="4"/>
        <charset val="134"/>
      </rPr>
      <t>菜根谭集句</t>
    </r>
  </si>
  <si>
    <r>
      <rPr>
        <sz val="12"/>
        <color indexed="8"/>
        <rFont val="等线"/>
        <family val="4"/>
        <charset val="134"/>
      </rPr>
      <t>旧城</t>
    </r>
  </si>
  <si>
    <r>
      <rPr>
        <sz val="12"/>
        <color indexed="8"/>
        <rFont val="等线"/>
        <family val="4"/>
        <charset val="134"/>
      </rPr>
      <t>飞简（寄周琳）</t>
    </r>
  </si>
  <si>
    <r>
      <rPr>
        <sz val="12"/>
        <color indexed="8"/>
        <rFont val="等线"/>
        <family val="4"/>
        <charset val="134"/>
      </rPr>
      <t>时间相对论</t>
    </r>
  </si>
  <si>
    <r>
      <rPr>
        <sz val="12"/>
        <color indexed="8"/>
        <rFont val="等线"/>
        <family val="4"/>
        <charset val="134"/>
      </rPr>
      <t>杂韵五篇</t>
    </r>
  </si>
  <si>
    <r>
      <rPr>
        <sz val="12"/>
        <color indexed="8"/>
        <rFont val="等线"/>
        <family val="4"/>
        <charset val="134"/>
      </rPr>
      <t>读书摘句</t>
    </r>
  </si>
  <si>
    <r>
      <rPr>
        <sz val="12"/>
        <color indexed="8"/>
        <rFont val="等线"/>
        <family val="4"/>
        <charset val="134"/>
      </rPr>
      <t>德国游</t>
    </r>
  </si>
  <si>
    <r>
      <rPr>
        <sz val="12"/>
        <color indexed="8"/>
        <rFont val="等线"/>
        <family val="4"/>
        <charset val="134"/>
      </rPr>
      <t>雲机</t>
    </r>
  </si>
  <si>
    <r>
      <rPr>
        <sz val="12"/>
        <color indexed="8"/>
        <rFont val="等线"/>
        <family val="4"/>
        <charset val="134"/>
      </rPr>
      <t>写意二首</t>
    </r>
  </si>
  <si>
    <r>
      <rPr>
        <sz val="12"/>
        <color indexed="8"/>
        <rFont val="等线"/>
        <family val="4"/>
        <charset val="134"/>
      </rPr>
      <t>新韵骊歌改自李宗盛词</t>
    </r>
  </si>
  <si>
    <r>
      <rPr>
        <sz val="12"/>
        <color indexed="8"/>
        <rFont val="等线"/>
        <family val="4"/>
        <charset val="134"/>
      </rPr>
      <t>新韵杂题＋电脑集句</t>
    </r>
  </si>
  <si>
    <r>
      <rPr>
        <sz val="12"/>
        <color indexed="8"/>
        <rFont val="等线"/>
        <family val="4"/>
        <charset val="134"/>
      </rPr>
      <t>道法鸿蒙</t>
    </r>
  </si>
  <si>
    <r>
      <rPr>
        <sz val="12"/>
        <color indexed="8"/>
        <rFont val="等线"/>
        <family val="4"/>
        <charset val="134"/>
      </rPr>
      <t>雲中阙</t>
    </r>
  </si>
  <si>
    <r>
      <rPr>
        <sz val="12"/>
        <color indexed="8"/>
        <rFont val="等线"/>
        <family val="4"/>
        <charset val="134"/>
      </rPr>
      <t>落仙</t>
    </r>
  </si>
  <si>
    <r>
      <rPr>
        <sz val="12"/>
        <color indexed="8"/>
        <rFont val="等线"/>
        <family val="4"/>
        <charset val="134"/>
      </rPr>
      <t>游思杭州学士亭</t>
    </r>
  </si>
  <si>
    <r>
      <rPr>
        <sz val="12"/>
        <color indexed="8"/>
        <rFont val="等线"/>
        <family val="4"/>
        <charset val="134"/>
      </rPr>
      <t>墨西芝华湾</t>
    </r>
  </si>
  <si>
    <r>
      <rPr>
        <sz val="12"/>
        <color indexed="8"/>
        <rFont val="等线"/>
        <family val="4"/>
        <charset val="134"/>
      </rPr>
      <t>雨霖铃</t>
    </r>
  </si>
  <si>
    <r>
      <rPr>
        <sz val="12"/>
        <color indexed="8"/>
        <rFont val="等线"/>
        <family val="4"/>
        <charset val="134"/>
      </rPr>
      <t>雲网别踪</t>
    </r>
  </si>
  <si>
    <r>
      <rPr>
        <sz val="12"/>
        <color indexed="8"/>
        <rFont val="等线"/>
        <family val="4"/>
        <charset val="134"/>
      </rPr>
      <t>八声甘州</t>
    </r>
  </si>
  <si>
    <r>
      <rPr>
        <sz val="12"/>
        <color indexed="8"/>
        <rFont val="等线"/>
        <family val="4"/>
        <charset val="134"/>
      </rPr>
      <t>英诗研习心得</t>
    </r>
  </si>
  <si>
    <r>
      <rPr>
        <sz val="12"/>
        <color indexed="8"/>
        <rFont val="等线"/>
        <family val="4"/>
        <charset val="134"/>
      </rPr>
      <t>双韵联句</t>
    </r>
  </si>
  <si>
    <r>
      <rPr>
        <sz val="12"/>
        <color indexed="8"/>
        <rFont val="等线"/>
        <family val="4"/>
        <charset val="134"/>
      </rPr>
      <t>致友</t>
    </r>
  </si>
  <si>
    <r>
      <rPr>
        <sz val="12"/>
        <color indexed="8"/>
        <rFont val="等线"/>
        <family val="4"/>
        <charset val="134"/>
      </rPr>
      <t>重忆</t>
    </r>
  </si>
  <si>
    <r>
      <rPr>
        <sz val="12"/>
        <color indexed="8"/>
        <rFont val="等线"/>
        <family val="4"/>
        <charset val="134"/>
      </rPr>
      <t>沁园春</t>
    </r>
  </si>
  <si>
    <r>
      <rPr>
        <sz val="12"/>
        <color indexed="8"/>
        <rFont val="等线"/>
        <family val="4"/>
        <charset val="134"/>
      </rPr>
      <t>读兵</t>
    </r>
  </si>
  <si>
    <r>
      <rPr>
        <sz val="12"/>
        <color indexed="8"/>
        <rFont val="等线"/>
        <family val="4"/>
        <charset val="134"/>
      </rPr>
      <t>四言</t>
    </r>
  </si>
  <si>
    <r>
      <rPr>
        <sz val="12"/>
        <color indexed="8"/>
        <rFont val="等线"/>
        <family val="4"/>
        <charset val="134"/>
      </rPr>
      <t>赠黄老</t>
    </r>
  </si>
  <si>
    <r>
      <rPr>
        <sz val="12"/>
        <color indexed="8"/>
        <rFont val="等线"/>
        <family val="4"/>
        <charset val="134"/>
      </rPr>
      <t>病後</t>
    </r>
  </si>
  <si>
    <t>(blank)</t>
  </si>
  <si>
    <t>Grand Total</t>
  </si>
  <si>
    <t>Count</t>
  </si>
  <si>
    <t>Year / Month</t>
  </si>
  <si>
    <t>Years</t>
    <phoneticPr fontId="2" type="noConversion"/>
  </si>
  <si>
    <t>Season</t>
    <phoneticPr fontId="2" type="noConversion"/>
  </si>
  <si>
    <t>S#</t>
    <phoneticPr fontId="2" type="noConversion"/>
  </si>
  <si>
    <t>1 - Spring</t>
  </si>
  <si>
    <t>2 - Summer</t>
  </si>
  <si>
    <t>3 - Autumn</t>
  </si>
  <si>
    <t>4 - Winter</t>
  </si>
  <si>
    <t>五言</t>
    <phoneticPr fontId="2" type="noConversion"/>
  </si>
  <si>
    <t>古诗</t>
    <phoneticPr fontId="2" type="noConversion"/>
  </si>
  <si>
    <t>⒓</t>
    <phoneticPr fontId="2" type="noConversion"/>
  </si>
  <si>
    <t>DEC</t>
    <phoneticPr fontId="2" type="noConversion"/>
  </si>
  <si>
    <t>Total</t>
  </si>
  <si>
    <t>年</t>
  </si>
  <si>
    <t>Group By Year</t>
  </si>
  <si>
    <t>Years</t>
  </si>
  <si>
    <t>Season</t>
  </si>
  <si>
    <t>Autumn</t>
  </si>
  <si>
    <t>Spring</t>
  </si>
  <si>
    <t>Summer</t>
  </si>
  <si>
    <t>Winter</t>
  </si>
  <si>
    <t>By Years</t>
  </si>
  <si>
    <t>By Seasons</t>
  </si>
  <si>
    <t>Month</t>
  </si>
  <si>
    <t>By Months</t>
  </si>
  <si>
    <t>律诗</t>
    <phoneticPr fontId="2" type="noConversion"/>
  </si>
  <si>
    <t>七律</t>
    <phoneticPr fontId="2" type="noConversion"/>
  </si>
  <si>
    <t>大溪地游记</t>
    <phoneticPr fontId="2" type="noConversion"/>
  </si>
  <si>
    <t>维港晨光</t>
    <phoneticPr fontId="2" type="noConversion"/>
  </si>
  <si>
    <t>梦与仙友同翱</t>
  </si>
  <si>
    <t>七言</t>
    <phoneticPr fontId="2" type="noConversion"/>
  </si>
  <si>
    <t>书评之当代言情小说</t>
  </si>
  <si>
    <t>Apr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</si>
</sst>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4"/>
      <charset val="134"/>
      <scheme val="minor"/>
    </font>
    <font>
      <sz val="12"/>
      <color indexed="8"/>
      <name val="等线"/>
      <family val="4"/>
      <charset val="134"/>
    </font>
    <font>
      <sz val="9"/>
      <name val="等线"/>
      <family val="4"/>
      <charset val="134"/>
    </font>
    <font>
      <b/>
      <sz val="12"/>
      <color indexed="8"/>
      <name val="等线"/>
      <family val="4"/>
      <charset val="134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Microsoft YaHei"/>
      <family val="2"/>
      <charset val="134"/>
    </font>
    <font>
      <sz val="12"/>
      <color theme="1"/>
      <name val="Microsoft YaHei"/>
      <family val="2"/>
    </font>
  </fonts>
  <fills count="2">
    <fill>
      <patternFill patternType="none"/>
    </fill>
    <fill>
      <patternFill patternType="gray125"/>
    </fill>
  </fills>
  <borders count="8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 style="thin">
        <color rgb="FF999999"/>
      </start>
      <end/>
      <top style="thin">
        <color rgb="FF999999"/>
      </top>
      <bottom/>
      <diagonal/>
    </border>
    <border>
      <start style="thin">
        <color rgb="FF999999"/>
      </start>
      <end/>
      <top/>
      <bottom/>
      <diagonal/>
    </border>
    <border>
      <start style="thin">
        <color rgb="FF999999"/>
      </start>
      <end/>
      <top style="thin">
        <color rgb="FF999999"/>
      </top>
      <bottom style="thin">
        <color rgb="FF999999"/>
      </bottom>
      <diagonal/>
    </border>
    <border>
      <start style="thin">
        <color rgb="FF999999"/>
      </start>
      <end style="thin">
        <color rgb="FF999999"/>
      </end>
      <top style="thin">
        <color rgb="FF999999"/>
      </top>
      <bottom/>
      <diagonal/>
    </border>
    <border>
      <start style="thin">
        <color rgb="FF999999"/>
      </start>
      <end style="thin">
        <color rgb="FF999999"/>
      </end>
      <top/>
      <bottom/>
      <diagonal/>
    </border>
    <border>
      <start style="thin">
        <color rgb="FF999999"/>
      </start>
      <end style="thin">
        <color rgb="FF999999"/>
      </end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0" fillId="0" borderId="0" xfId="0" pivotButton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pivotButton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1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2.xml"/><Relationship Id="rId4" Type="http://purl.oclc.org/ooxml/officeDocument/relationships/pivotCacheDefinition" Target="pivotCache/pivotCacheDefinition1.xml"/><Relationship Id="rId9" Type="http://purl.oclc.org/ooxml/officeDocument/relationships/calcChain" Target="calcChain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Count by Year</c:v>
          </c:tx>
          <c:invertIfNegative val="0"/>
          <c:dPt>
            <c:idx val="0"/>
            <c:invertIfNegative val="0"/>
            <c:bubble3D val="0"/>
            <c:spPr>
              <a:solidFill>
                <a:srgbClr val="15608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D651-0C4A-9031-915BF35658E5}"/>
              </c:ext>
            </c:extLst>
          </c:dPt>
          <c:dPt>
            <c:idx val="1"/>
            <c:invertIfNegative val="0"/>
            <c:bubble3D val="0"/>
            <c:spPr>
              <a:solidFill>
                <a:srgbClr val="E97132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D651-0C4A-9031-915BF35658E5}"/>
              </c:ext>
            </c:extLst>
          </c:dPt>
          <c:dPt>
            <c:idx val="2"/>
            <c:invertIfNegative val="0"/>
            <c:bubble3D val="0"/>
            <c:spPr>
              <a:solidFill>
                <a:srgbClr val="196B24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D651-0C4A-9031-915BF35658E5}"/>
              </c:ext>
            </c:extLst>
          </c:dPt>
          <c:dPt>
            <c:idx val="3"/>
            <c:invertIfNegative val="0"/>
            <c:bubble3D val="0"/>
            <c:spPr>
              <a:solidFill>
                <a:srgbClr val="0F9ED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651-0C4A-9031-915BF35658E5}"/>
              </c:ext>
            </c:extLst>
          </c:dPt>
          <c:dPt>
            <c:idx val="4"/>
            <c:invertIfNegative val="0"/>
            <c:bubble3D val="0"/>
            <c:spPr>
              <a:solidFill>
                <a:srgbClr val="A02B93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4-D651-0C4A-9031-915BF35658E5}"/>
              </c:ext>
            </c:extLst>
          </c:dPt>
          <c:dPt>
            <c:idx val="5"/>
            <c:invertIfNegative val="0"/>
            <c:bubble3D val="0"/>
            <c:spPr>
              <a:solidFill>
                <a:srgbClr val="4EA72E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D651-0C4A-9031-915BF35658E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651-0C4A-9031-915BF35658E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51-0C4A-9031-915BF35658E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651-0C4A-9031-915BF35658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651-0C4A-9031-915BF35658E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651-0C4A-9031-915BF35658E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651-0C4A-9031-915BF35658E5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%"/>
                  <a:lumOff val="2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651-0C4A-9031-915BF35658E5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%"/>
                  <a:lumOff val="2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651-0C4A-9031-915BF35658E5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%"/>
                  <a:lumOff val="2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651-0C4A-9031-915BF35658E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%"/>
                  <a:lumOff val="2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651-0C4A-9031-915BF35658E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%"/>
                  <a:lumOff val="2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D651-0C4A-9031-915BF35658E5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%"/>
                  <a:lumOff val="2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651-0C4A-9031-915BF35658E5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651-0C4A-9031-915BF35658E5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651-0C4A-9031-915BF35658E5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D651-0C4A-9031-915BF35658E5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D651-0C4A-9031-915BF35658E5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651-0C4A-9031-915BF35658E5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D651-0C4A-9031-915BF35658E5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%"/>
                  <a:lumOff val="4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D651-0C4A-9031-915BF35658E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%"/>
                  <a:lumOff val="4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D651-0C4A-9031-915BF35658E5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%"/>
                  <a:lumOff val="4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D651-0C4A-9031-915BF35658E5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%"/>
                  <a:lumOff val="4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D651-0C4A-9031-915BF35658E5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%"/>
                  <a:lumOff val="4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D651-0C4A-9031-915BF35658E5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%"/>
                  <a:lumOff val="4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D651-0C4A-9031-915BF35658E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D651-0C4A-9031-915BF35658E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D651-0C4A-9031-915BF35658E5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D651-0C4A-9031-915BF35658E5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D651-0C4A-9031-915BF35658E5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D651-0C4A-9031-915BF35658E5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D651-0C4A-9031-915BF35658E5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%"/>
                  <a:lumOff val="3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D651-0C4A-9031-915BF35658E5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%"/>
                  <a:lumOff val="3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D651-0C4A-9031-915BF35658E5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%"/>
                  <a:lumOff val="3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D651-0C4A-9031-915BF35658E5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%"/>
                  <a:lumOff val="30%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D651-0C4A-9031-915BF35658E5}"/>
              </c:ext>
            </c:extLst>
          </c:dPt>
          <c:cat>
            <c:numRef>
              <c:f>Pivot!$D$3:$D$42</c:f>
              <c:numCache>
                <c:formatCode>General</c:formatCode>
                <c:ptCount val="40"/>
                <c:pt idx="0">
                  <c:v>1979</c:v>
                </c:pt>
                <c:pt idx="1">
                  <c:v>1980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1992</c:v>
                </c:pt>
                <c:pt idx="11">
                  <c:v>1993</c:v>
                </c:pt>
                <c:pt idx="12">
                  <c:v>1994</c:v>
                </c:pt>
                <c:pt idx="13">
                  <c:v>1995</c:v>
                </c:pt>
                <c:pt idx="14">
                  <c:v>1996</c:v>
                </c:pt>
                <c:pt idx="15">
                  <c:v>1997</c:v>
                </c:pt>
                <c:pt idx="16">
                  <c:v>1998</c:v>
                </c:pt>
                <c:pt idx="17">
                  <c:v>1999</c:v>
                </c:pt>
                <c:pt idx="18">
                  <c:v>2002</c:v>
                </c:pt>
                <c:pt idx="19">
                  <c:v>2003</c:v>
                </c:pt>
                <c:pt idx="20">
                  <c:v>2006</c:v>
                </c:pt>
                <c:pt idx="21">
                  <c:v>2007</c:v>
                </c:pt>
                <c:pt idx="22">
                  <c:v>2008</c:v>
                </c:pt>
                <c:pt idx="23">
                  <c:v>2009</c:v>
                </c:pt>
                <c:pt idx="24">
                  <c:v>2010</c:v>
                </c:pt>
                <c:pt idx="25">
                  <c:v>2011</c:v>
                </c:pt>
                <c:pt idx="26">
                  <c:v>2012</c:v>
                </c:pt>
                <c:pt idx="27">
                  <c:v>2013</c:v>
                </c:pt>
                <c:pt idx="28">
                  <c:v>2014</c:v>
                </c:pt>
                <c:pt idx="29">
                  <c:v>2015</c:v>
                </c:pt>
                <c:pt idx="30">
                  <c:v>2016</c:v>
                </c:pt>
                <c:pt idx="31">
                  <c:v>2017</c:v>
                </c:pt>
                <c:pt idx="32">
                  <c:v>2018</c:v>
                </c:pt>
                <c:pt idx="33">
                  <c:v>2019</c:v>
                </c:pt>
                <c:pt idx="34">
                  <c:v>2020</c:v>
                </c:pt>
                <c:pt idx="35">
                  <c:v>2021</c:v>
                </c:pt>
                <c:pt idx="36">
                  <c:v>2022</c:v>
                </c:pt>
                <c:pt idx="37">
                  <c:v>2023</c:v>
                </c:pt>
                <c:pt idx="38">
                  <c:v>2024</c:v>
                </c:pt>
                <c:pt idx="39">
                  <c:v>2025</c:v>
                </c:pt>
              </c:numCache>
            </c:numRef>
          </c:cat>
          <c:val>
            <c:numRef>
              <c:f>Pivot!$E$3:$E$42</c:f>
              <c:numCache>
                <c:formatCode>General</c:formatCode>
                <c:ptCount val="40"/>
                <c:pt idx="0">
                  <c:v>4</c:v>
                </c:pt>
                <c:pt idx="1">
                  <c:v>2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9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8</c:v>
                </c:pt>
                <c:pt idx="13">
                  <c:v>30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8</c:v>
                </c:pt>
                <c:pt idx="24">
                  <c:v>30</c:v>
                </c:pt>
                <c:pt idx="25">
                  <c:v>16</c:v>
                </c:pt>
                <c:pt idx="26">
                  <c:v>7</c:v>
                </c:pt>
                <c:pt idx="27">
                  <c:v>1</c:v>
                </c:pt>
                <c:pt idx="28">
                  <c:v>12</c:v>
                </c:pt>
                <c:pt idx="29">
                  <c:v>3</c:v>
                </c:pt>
                <c:pt idx="30">
                  <c:v>5</c:v>
                </c:pt>
                <c:pt idx="31">
                  <c:v>4</c:v>
                </c:pt>
                <c:pt idx="32">
                  <c:v>1</c:v>
                </c:pt>
                <c:pt idx="33">
                  <c:v>5</c:v>
                </c:pt>
                <c:pt idx="34">
                  <c:v>19</c:v>
                </c:pt>
                <c:pt idx="35">
                  <c:v>43</c:v>
                </c:pt>
                <c:pt idx="36">
                  <c:v>9</c:v>
                </c:pt>
                <c:pt idx="37">
                  <c:v>25</c:v>
                </c:pt>
                <c:pt idx="38">
                  <c:v>14</c:v>
                </c:pt>
                <c:pt idx="3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651-0C4A-9031-915BF3565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859991168"/>
        <c:axId val="1"/>
      </c:barChart>
      <c:catAx>
        <c:axId val="8599911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max"/>
        <c:auto val="1"/>
        <c:lblAlgn val="ctr"/>
        <c:lblOffset val="100"/>
        <c:noMultiLvlLbl val="0"/>
      </c:catAx>
      <c:valAx>
        <c:axId val="1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991168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zero"/>
    <c:showDLblsOverMax val="0"/>
  </c:chart>
  <c:spPr>
    <a:solidFill>
      <a:schemeClr val="bg1"/>
    </a:solidFill>
    <a:ln w="12700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76697405692751"/>
          <c:y val="2.997275176129299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0"/>
        <c:ser>
          <c:idx val="0"/>
          <c:order val="0"/>
          <c:tx>
            <c:v>Count By Years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explosion val="5"/>
            <c:spPr>
              <a:solidFill>
                <a:schemeClr val="bg2">
                  <a:lumMod val="75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68D6-6240-9E1D-85D064BE8DAD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%"/>
                  <a:lumOff val="8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D6-6240-9E1D-85D064BE8DAD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%"/>
                  <a:lumOff val="4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8D6-6240-9E1D-85D064BE8DAD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%"/>
                  <a:lumOff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D6-6240-9E1D-85D064BE8DAD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%"/>
                  <a:lumOff val="4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8D6-6240-9E1D-85D064BE8DAD}"/>
              </c:ext>
            </c:extLst>
          </c:dPt>
          <c:dPt>
            <c:idx val="5"/>
            <c:bubble3D val="0"/>
            <c:spPr>
              <a:solidFill>
                <a:srgbClr val="FF7E7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D6-6240-9E1D-85D064BE8DA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Pivot!$G$31:$G$36</c:f>
              <c:numCache>
                <c:formatCode>General</c:formatCode>
                <c:ptCount val="6"/>
                <c:pt idx="0">
                  <c:v>1970</c:v>
                </c:pt>
                <c:pt idx="1">
                  <c:v>1980</c:v>
                </c:pt>
                <c:pt idx="2">
                  <c:v>1990</c:v>
                </c:pt>
                <c:pt idx="3">
                  <c:v>2000</c:v>
                </c:pt>
                <c:pt idx="4">
                  <c:v>2010</c:v>
                </c:pt>
                <c:pt idx="5">
                  <c:v>2020</c:v>
                </c:pt>
              </c:numCache>
            </c:numRef>
          </c:cat>
          <c:val>
            <c:numRef>
              <c:f>Pivot!$H$31:$H$36</c:f>
              <c:numCache>
                <c:formatCode>General</c:formatCode>
                <c:ptCount val="6"/>
                <c:pt idx="0">
                  <c:v>4</c:v>
                </c:pt>
                <c:pt idx="1">
                  <c:v>37</c:v>
                </c:pt>
                <c:pt idx="2">
                  <c:v>47</c:v>
                </c:pt>
                <c:pt idx="3">
                  <c:v>26</c:v>
                </c:pt>
                <c:pt idx="4">
                  <c:v>84</c:v>
                </c:pt>
                <c:pt idx="5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D6-6240-9E1D-85D064BE8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20"/>
      </c:pie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4301820632167414"/>
          <c:y val="0.86665520099461246"/>
          <c:w val="0.69336136865617626"/>
          <c:h val="0.12517043099875669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Count By Seasons</c:v>
          </c:tx>
          <c:dPt>
            <c:idx val="0"/>
            <c:bubble3D val="0"/>
            <c:spPr>
              <a:solidFill>
                <a:schemeClr val="accent2">
                  <a:lumMod val="60%"/>
                  <a:lumOff val="4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8DC1-8B42-8704-82213D1F8088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%"/>
                  <a:lumOff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C1-8B42-8704-82213D1F8088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%"/>
                  <a:lumOff val="6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C1-8B42-8704-82213D1F8088}"/>
              </c:ext>
            </c:extLst>
          </c:dPt>
          <c:dPt>
            <c:idx val="3"/>
            <c:bubble3D val="0"/>
            <c:explosion val="5"/>
            <c:spPr>
              <a:solidFill>
                <a:schemeClr val="bg2">
                  <a:lumMod val="75%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C1-8B42-8704-82213D1F8088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Pivot!$G$3:$G$6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Pivot!$H$3:$H$6</c:f>
              <c:numCache>
                <c:formatCode>General</c:formatCode>
                <c:ptCount val="4"/>
                <c:pt idx="0">
                  <c:v>109</c:v>
                </c:pt>
                <c:pt idx="1">
                  <c:v>56</c:v>
                </c:pt>
                <c:pt idx="2">
                  <c:v>50</c:v>
                </c:pt>
                <c:pt idx="3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C1-8B42-8704-82213D1F8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00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 rtl="0">
            <a:defRPr sz="20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Count by Months</c:v>
          </c:tx>
          <c:dPt>
            <c:idx val="0"/>
            <c:bubble3D val="0"/>
            <c:spPr>
              <a:solidFill>
                <a:schemeClr val="tx1">
                  <a:lumMod val="50%"/>
                  <a:lumOff val="5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A899-5742-8B03-FB38864A46B0}"/>
              </c:ext>
            </c:extLst>
          </c:dPt>
          <c:dPt>
            <c:idx val="1"/>
            <c:bubble3D val="0"/>
            <c:spPr>
              <a:solidFill>
                <a:schemeClr val="bg2">
                  <a:lumMod val="9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99-5742-8B03-FB38864A46B0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%"/>
                  <a:lumOff val="80%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899-5742-8B03-FB38864A46B0}"/>
              </c:ext>
            </c:extLst>
          </c:dPt>
          <c:dPt>
            <c:idx val="3"/>
            <c:bubble3D val="0"/>
            <c:explosion val="5"/>
            <c:spPr>
              <a:solidFill>
                <a:schemeClr val="accent6">
                  <a:lumMod val="60%"/>
                  <a:lumOff val="40%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99-5742-8B03-FB38864A46B0}"/>
              </c:ext>
            </c:extLst>
          </c:dPt>
          <c:dPt>
            <c:idx val="4"/>
            <c:bubble3D val="0"/>
            <c:spPr>
              <a:solidFill>
                <a:schemeClr val="accent5">
                  <a:lumMod val="40%"/>
                  <a:lumOff val="60%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A899-5742-8B03-FB38864A46B0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%"/>
                  <a:lumOff val="40%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A899-5742-8B03-FB38864A46B0}"/>
              </c:ext>
            </c:extLst>
          </c:dPt>
          <c:dPt>
            <c:idx val="6"/>
            <c:bubble3D val="0"/>
            <c:spPr>
              <a:solidFill>
                <a:schemeClr val="accent1">
                  <a:lumMod val="40%"/>
                  <a:lumOff val="60%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A899-5742-8B03-FB38864A46B0}"/>
              </c:ext>
            </c:extLst>
          </c:dPt>
          <c:dPt>
            <c:idx val="7"/>
            <c:bubble3D val="0"/>
            <c:spPr>
              <a:solidFill>
                <a:schemeClr val="tx2">
                  <a:lumMod val="50%"/>
                  <a:lumOff val="50%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A899-5742-8B03-FB38864A46B0}"/>
              </c:ext>
            </c:extLst>
          </c:dPt>
          <c:dPt>
            <c:idx val="8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8-A899-5742-8B03-FB38864A46B0}"/>
              </c:ext>
            </c:extLst>
          </c:dPt>
          <c:dPt>
            <c:idx val="9"/>
            <c:bubble3D val="0"/>
            <c:spPr>
              <a:solidFill>
                <a:schemeClr val="accent2">
                  <a:lumMod val="40%"/>
                  <a:lumOff val="60%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A899-5742-8B03-FB38864A46B0}"/>
              </c:ext>
            </c:extLst>
          </c:dPt>
          <c:dPt>
            <c:idx val="1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A-A899-5742-8B03-FB38864A46B0}"/>
              </c:ext>
            </c:extLst>
          </c:dPt>
          <c:dPt>
            <c:idx val="11"/>
            <c:bubble3D val="0"/>
            <c:spPr>
              <a:solidFill>
                <a:srgbClr val="FF7E79"/>
              </a:solidFill>
            </c:spPr>
            <c:extLst>
              <c:ext xmlns:c16="http://schemas.microsoft.com/office/drawing/2014/chart" uri="{C3380CC4-5D6E-409C-BE32-E72D297353CC}">
                <c16:uniqueId val="{0000000B-A899-5742-8B03-FB38864A46B0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%"/>
                      <a:lumOff val="65%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Pivot!$G$11:$G$22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Pivot!$H$11:$H$22</c:f>
              <c:numCache>
                <c:formatCode>General</c:formatCode>
                <c:ptCount val="12"/>
                <c:pt idx="0">
                  <c:v>28</c:v>
                </c:pt>
                <c:pt idx="1">
                  <c:v>63</c:v>
                </c:pt>
                <c:pt idx="2">
                  <c:v>34</c:v>
                </c:pt>
                <c:pt idx="3">
                  <c:v>11</c:v>
                </c:pt>
                <c:pt idx="4">
                  <c:v>11</c:v>
                </c:pt>
                <c:pt idx="5">
                  <c:v>14</c:v>
                </c:pt>
                <c:pt idx="6">
                  <c:v>13</c:v>
                </c:pt>
                <c:pt idx="7">
                  <c:v>23</c:v>
                </c:pt>
                <c:pt idx="8">
                  <c:v>52</c:v>
                </c:pt>
                <c:pt idx="9">
                  <c:v>25</c:v>
                </c:pt>
                <c:pt idx="10">
                  <c:v>32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99-5742-8B03-FB38864A4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 rtl="0">
            <a:defRPr sz="20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4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203200</xdr:colOff>
      <xdr:row>2</xdr:row>
      <xdr:rowOff>38100</xdr:rowOff>
    </xdr:from>
    <xdr:to>
      <xdr:col>9</xdr:col>
      <xdr:colOff>774700</xdr:colOff>
      <xdr:row>34</xdr:row>
      <xdr:rowOff>63500</xdr:rowOff>
    </xdr:to>
    <xdr:graphicFrame macro="">
      <xdr:nvGraphicFramePr>
        <xdr:cNvPr id="1053776" name="Chart 1">
          <a:extLst>
            <a:ext uri="{FF2B5EF4-FFF2-40B4-BE49-F238E27FC236}">
              <a16:creationId xmlns:a16="http://schemas.microsoft.com/office/drawing/2014/main" id="{91950DF2-804C-D858-FBC1-D8E6489E7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10</xdr:col>
      <xdr:colOff>165100</xdr:colOff>
      <xdr:row>1</xdr:row>
      <xdr:rowOff>317500</xdr:rowOff>
    </xdr:from>
    <xdr:to>
      <xdr:col>19</xdr:col>
      <xdr:colOff>749300</xdr:colOff>
      <xdr:row>32</xdr:row>
      <xdr:rowOff>114300</xdr:rowOff>
    </xdr:to>
    <xdr:graphicFrame macro="">
      <xdr:nvGraphicFramePr>
        <xdr:cNvPr id="1053777" name="Chart 2">
          <a:extLst>
            <a:ext uri="{FF2B5EF4-FFF2-40B4-BE49-F238E27FC236}">
              <a16:creationId xmlns:a16="http://schemas.microsoft.com/office/drawing/2014/main" id="{86D1D4A2-BFA9-0E28-DE05-ABDF37FB9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0</xdr:col>
      <xdr:colOff>215900</xdr:colOff>
      <xdr:row>40</xdr:row>
      <xdr:rowOff>12700</xdr:rowOff>
    </xdr:from>
    <xdr:to>
      <xdr:col>9</xdr:col>
      <xdr:colOff>774700</xdr:colOff>
      <xdr:row>70</xdr:row>
      <xdr:rowOff>279400</xdr:rowOff>
    </xdr:to>
    <xdr:graphicFrame macro="">
      <xdr:nvGraphicFramePr>
        <xdr:cNvPr id="1053778" name="Chart 3">
          <a:extLst>
            <a:ext uri="{FF2B5EF4-FFF2-40B4-BE49-F238E27FC236}">
              <a16:creationId xmlns:a16="http://schemas.microsoft.com/office/drawing/2014/main" id="{52B7C29B-F6FD-77B2-4755-C26370E89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10</xdr:col>
      <xdr:colOff>190500</xdr:colOff>
      <xdr:row>40</xdr:row>
      <xdr:rowOff>12700</xdr:rowOff>
    </xdr:from>
    <xdr:to>
      <xdr:col>19</xdr:col>
      <xdr:colOff>774700</xdr:colOff>
      <xdr:row>70</xdr:row>
      <xdr:rowOff>279400</xdr:rowOff>
    </xdr:to>
    <xdr:graphicFrame macro="">
      <xdr:nvGraphicFramePr>
        <xdr:cNvPr id="1053779" name="Chart 3">
          <a:extLst>
            <a:ext uri="{FF2B5EF4-FFF2-40B4-BE49-F238E27FC236}">
              <a16:creationId xmlns:a16="http://schemas.microsoft.com/office/drawing/2014/main" id="{7C78557C-B7F0-8D5A-34A4-EE8BEBB8E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2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Jason Zhu" refreshedDateIso="2026-06-05T22:31:33.69900017045438625" createdVersion="4" refreshedVersion="8" minRefreshableVersion="3" recordCount="218" xr:uid="{688F3AA1-B635-884C-9506-5CA35F252915}">
  <cacheSource type="worksheet">
    <worksheetSource ref="A1:H503" sheet="mulu"/>
  </cacheSource>
  <cacheFields count="8">
    <cacheField name="#" numFmtId="0">
      <sharedItems containsString="0" containsBlank="1" containsNumber="1" containsInteger="1" minValue="0" maxValue="18" count="10">
        <n v="2"/>
        <n v="1"/>
        <n v="3"/>
        <n v="6"/>
        <n v="5"/>
        <n v="0"/>
        <n v="18"/>
        <n v="4"/>
        <n v="9"/>
        <m/>
      </sharedItems>
    </cacheField>
    <cacheField name="分类" numFmtId="0">
      <sharedItems containsBlank="1"/>
    </cacheField>
    <cacheField name="格体" numFmtId="0">
      <sharedItems containsBlank="1"/>
    </cacheField>
    <cacheField name="标题" numFmtId="0">
      <sharedItems containsBlank="1"/>
    </cacheField>
    <cacheField name="年" numFmtId="0">
      <sharedItems containsString="0" containsBlank="1" containsNumber="1" containsInteger="1" minValue="1979" maxValue="2025" count="41">
        <n v="1979"/>
        <n v="1980"/>
        <n v="1982"/>
        <n v="1983"/>
        <n v="1984"/>
        <n v="1985"/>
        <n v="1986"/>
        <n v="1987"/>
        <n v="1988"/>
        <n v="1989"/>
        <n v="1992"/>
        <n v="1993"/>
        <n v="1994"/>
        <n v="1995"/>
        <n v="1996"/>
        <n v="1997"/>
        <n v="1998"/>
        <n v="1999"/>
        <n v="2002"/>
        <n v="2003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m/>
      </sharedItems>
    </cacheField>
    <cacheField name="月份" numFmtId="0">
      <sharedItems containsBlank="1"/>
    </cacheField>
    <cacheField name="月" numFmtId="0">
      <sharedItems containsString="0" containsBlank="1" containsNumber="1" containsInteger="1" minValue="1" maxValue="12" count="13">
        <n v="4"/>
        <n v="9"/>
        <n v="8"/>
        <n v="10"/>
        <n v="2"/>
        <n v="5"/>
        <n v="1"/>
        <n v="11"/>
        <n v="6"/>
        <n v="12"/>
        <n v="3"/>
        <n v="7"/>
        <m/>
      </sharedItems>
    </cacheField>
    <cacheField name="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OnLoad="1" refreshedBy="Jason Zhu" refreshedDateIso="2026-06-05T22:40:27.42999990005046450" createdVersion="8" refreshedVersion="8" recordCount="218" xr:uid="{7B0C0C8F-2B5F-BF40-95A6-3AE6F2BCCE4B}">
  <cacheSource type="worksheet">
    <worksheetSource ref="A1:K65539" sheet="mulu"/>
  </cacheSource>
  <cacheFields count="11">
    <cacheField name="#" numFmtId="0">
      <sharedItems containsString="0" containsBlank="1" containsNumber="1" containsInteger="1" minValue="0" maxValue="18"/>
    </cacheField>
    <cacheField name="分类" numFmtId="0">
      <sharedItems containsBlank="1"/>
    </cacheField>
    <cacheField name="格体" numFmtId="0">
      <sharedItems containsBlank="1"/>
    </cacheField>
    <cacheField name="标题" numFmtId="0">
      <sharedItems containsBlank="1"/>
    </cacheField>
    <cacheField name="年" numFmtId="0">
      <sharedItems containsString="0" containsBlank="1" containsNumber="1" containsInteger="1" minValue="1979" maxValue="2025" count="41">
        <n v="1979"/>
        <n v="1980"/>
        <n v="1982"/>
        <n v="1983"/>
        <n v="1984"/>
        <n v="1985"/>
        <n v="1986"/>
        <n v="1987"/>
        <n v="1988"/>
        <n v="1989"/>
        <n v="1992"/>
        <n v="1993"/>
        <n v="1994"/>
        <n v="1995"/>
        <n v="1996"/>
        <n v="1997"/>
        <n v="1998"/>
        <n v="1999"/>
        <n v="2002"/>
        <n v="2003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m/>
      </sharedItems>
    </cacheField>
    <cacheField name="月份" numFmtId="0">
      <sharedItems containsBlank="1"/>
    </cacheField>
    <cacheField name="月" numFmtId="0">
      <sharedItems containsString="0" containsBlank="1" containsNumber="1" containsInteger="1" minValue="1" maxValue="12"/>
    </cacheField>
    <cacheField name="Month" numFmtId="0">
      <sharedItems containsBlank="1" count="13">
        <s v="APR"/>
        <s v="SEP"/>
        <s v="AUG"/>
        <s v="OCT"/>
        <s v="FEB"/>
        <s v="MAY"/>
        <s v="JAN"/>
        <s v="NOV"/>
        <s v="JUN"/>
        <s v="DEC"/>
        <s v="MAR"/>
        <s v="JUL"/>
        <m/>
      </sharedItems>
    </cacheField>
    <cacheField name="Season" numFmtId="0">
      <sharedItems containsBlank="1" count="5">
        <s v="Spring"/>
        <s v="Autumn"/>
        <s v="Summer"/>
        <s v="Winter"/>
        <m/>
      </sharedItems>
    </cacheField>
    <cacheField name="S#" numFmtId="0">
      <sharedItems containsBlank="1"/>
    </cacheField>
    <cacheField name="Years" numFmtId="0">
      <sharedItems containsString="0" containsBlank="1" containsNumber="1" containsInteger="1" minValue="1970" maxValue="2020" count="7">
        <n v="1970"/>
        <n v="1980"/>
        <n v="1990"/>
        <n v="2000"/>
        <n v="2010"/>
        <n v="202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18">
  <r>
    <x v="0"/>
    <s v="律诗"/>
    <s v="五律"/>
    <s v="春游鳝溪二首"/>
    <x v="0"/>
    <s v="⒋"/>
    <x v="0"/>
    <s v="APR"/>
  </r>
  <r>
    <x v="0"/>
    <s v="律诗"/>
    <s v="五律"/>
    <s v="秋游青芝寺二首"/>
    <x v="0"/>
    <s v="⒐"/>
    <x v="1"/>
    <s v="SEP"/>
  </r>
  <r>
    <x v="0"/>
    <s v="律诗"/>
    <s v="五律"/>
    <s v="西湖二首"/>
    <x v="1"/>
    <s v="⒏"/>
    <x v="2"/>
    <s v="AUG"/>
  </r>
  <r>
    <x v="1"/>
    <s v="词曲"/>
    <s v="忆江南"/>
    <s v="榕城春"/>
    <x v="2"/>
    <s v="⒐"/>
    <x v="1"/>
    <s v="SEP"/>
  </r>
  <r>
    <x v="1"/>
    <s v="词曲"/>
    <s v="采桑子"/>
    <s v="湖趣"/>
    <x v="2"/>
    <s v="⒐"/>
    <x v="1"/>
    <s v="SEP"/>
  </r>
  <r>
    <x v="1"/>
    <s v="词曲"/>
    <s v="渔家傲"/>
    <s v="夜雨泊江"/>
    <x v="2"/>
    <s v="⒐"/>
    <x v="1"/>
    <s v="SEP"/>
  </r>
  <r>
    <x v="1"/>
    <s v="词曲"/>
    <s v="六洲歌头"/>
    <s v="夕阳西下"/>
    <x v="2"/>
    <s v="⒐"/>
    <x v="1"/>
    <s v="SEP"/>
  </r>
  <r>
    <x v="2"/>
    <s v="古诗"/>
    <s v="七言"/>
    <s v="江南感赋、春思、闽浪残昏"/>
    <x v="2"/>
    <s v="⒑"/>
    <x v="3"/>
    <s v="OCT"/>
  </r>
  <r>
    <x v="1"/>
    <s v="词曲"/>
    <s v="水仙子"/>
    <s v="除夕"/>
    <x v="3"/>
    <s v="⒉"/>
    <x v="4"/>
    <s v="FEB"/>
  </r>
  <r>
    <x v="1"/>
    <s v="词曲"/>
    <s v="菩萨蛮"/>
    <s v="元夕"/>
    <x v="3"/>
    <s v="⒉"/>
    <x v="4"/>
    <s v="FEB"/>
  </r>
  <r>
    <x v="1"/>
    <s v="词曲"/>
    <s v="调笑令"/>
    <s v="踏青"/>
    <x v="3"/>
    <s v="⒋"/>
    <x v="0"/>
    <s v="APR"/>
  </r>
  <r>
    <x v="1"/>
    <s v="词曲"/>
    <s v="少年游"/>
    <s v="寄友"/>
    <x v="3"/>
    <s v="⒌"/>
    <x v="5"/>
    <s v="MAY"/>
  </r>
  <r>
    <x v="1"/>
    <s v="词曲"/>
    <s v="满江红"/>
    <s v="清明"/>
    <x v="3"/>
    <s v="⒌"/>
    <x v="5"/>
    <s v="MAY"/>
  </r>
  <r>
    <x v="1"/>
    <s v="词曲"/>
    <s v="青玉案"/>
    <s v="除夕"/>
    <x v="4"/>
    <s v="⒉"/>
    <x v="4"/>
    <s v="FEB"/>
  </r>
  <r>
    <x v="1"/>
    <s v="词曲"/>
    <s v="渔歌子"/>
    <s v="大连风情小记"/>
    <x v="4"/>
    <s v="⒏"/>
    <x v="2"/>
    <s v="AUG"/>
  </r>
  <r>
    <x v="1"/>
    <s v="词曲"/>
    <s v="巫山一段雲"/>
    <s v="雲中飞行"/>
    <x v="4"/>
    <s v="⒏"/>
    <x v="2"/>
    <s v="AUG"/>
  </r>
  <r>
    <x v="1"/>
    <s v="词曲"/>
    <s v="望海潮"/>
    <s v="旅顺口怀古"/>
    <x v="4"/>
    <s v="⒏"/>
    <x v="2"/>
    <s v="AUG"/>
  </r>
  <r>
    <x v="1"/>
    <s v="词曲"/>
    <s v="拜星月慢"/>
    <s v="雨後黄昏，游大连星海公园"/>
    <x v="4"/>
    <s v="⒏"/>
    <x v="2"/>
    <s v="AUG"/>
  </r>
  <r>
    <x v="1"/>
    <s v="词曲"/>
    <s v="忆秦娥"/>
    <s v="清明"/>
    <x v="5"/>
    <s v="⒈"/>
    <x v="6"/>
    <s v="JAN"/>
  </r>
  <r>
    <x v="0"/>
    <s v="古诗"/>
    <s v="七言"/>
    <s v="清明诗钞题後二首"/>
    <x v="5"/>
    <s v="⒈"/>
    <x v="6"/>
    <s v="JAN"/>
  </r>
  <r>
    <x v="1"/>
    <s v="古诗"/>
    <s v="七言"/>
    <s v="寄书友人题後"/>
    <x v="5"/>
    <s v="⒈"/>
    <x v="6"/>
    <s v="JAN"/>
  </r>
  <r>
    <x v="1"/>
    <s v="词曲"/>
    <s v="人月圆"/>
    <s v="十五"/>
    <x v="5"/>
    <s v="⒉"/>
    <x v="4"/>
    <s v="FEB"/>
  </r>
  <r>
    <x v="2"/>
    <s v="古诗"/>
    <s v="七言"/>
    <s v="黄山题咏三首"/>
    <x v="5"/>
    <s v="⒏"/>
    <x v="2"/>
    <s v="AUG"/>
  </r>
  <r>
    <x v="1"/>
    <s v="古诗"/>
    <s v="七言"/>
    <s v="黄山抒怀"/>
    <x v="5"/>
    <s v="⒏"/>
    <x v="2"/>
    <s v="AUG"/>
  </r>
  <r>
    <x v="1"/>
    <s v="律诗"/>
    <s v="五律"/>
    <s v="秋怀"/>
    <x v="6"/>
    <s v="⒑"/>
    <x v="3"/>
    <s v="OCT"/>
  </r>
  <r>
    <x v="1"/>
    <s v="律诗"/>
    <s v="五律"/>
    <s v="山中感赋"/>
    <x v="6"/>
    <s v="⒑"/>
    <x v="3"/>
    <s v="OCT"/>
  </r>
  <r>
    <x v="0"/>
    <s v="词曲"/>
    <s v="散曲"/>
    <s v="风雲健二首"/>
    <x v="6"/>
    <s v="⒒"/>
    <x v="7"/>
    <s v="NOV"/>
  </r>
  <r>
    <x v="1"/>
    <s v="律诗"/>
    <s v="五律"/>
    <s v="新春试笔"/>
    <x v="7"/>
    <s v="⒉"/>
    <x v="4"/>
    <s v="FEB"/>
  </r>
  <r>
    <x v="1"/>
    <s v="律诗"/>
    <s v="五律"/>
    <s v="夏日龙门涧道中"/>
    <x v="7"/>
    <s v="⒏"/>
    <x v="2"/>
    <s v="AUG"/>
  </r>
  <r>
    <x v="1"/>
    <s v="律诗"/>
    <s v="五律"/>
    <s v="夜雨邀同窗龚学士戏作"/>
    <x v="8"/>
    <s v="⒍"/>
    <x v="8"/>
    <s v="JUN"/>
  </r>
  <r>
    <x v="1"/>
    <s v="词曲"/>
    <s v="散曲"/>
    <s v="寒夜别"/>
    <x v="9"/>
    <s v="⒈"/>
    <x v="6"/>
    <s v="JAN"/>
  </r>
  <r>
    <x v="1"/>
    <s v="诗歌"/>
    <s v="新韵文诗"/>
    <s v="雪"/>
    <x v="9"/>
    <s v="⒓"/>
    <x v="9"/>
    <s v="DEC"/>
  </r>
  <r>
    <x v="1"/>
    <s v="律诗"/>
    <s v="五律"/>
    <s v="壬申新年赋笔"/>
    <x v="10"/>
    <s v="⒉"/>
    <x v="4"/>
    <s v="FEB"/>
  </r>
  <r>
    <x v="1"/>
    <s v="律诗"/>
    <s v="五律"/>
    <s v="榕城留句"/>
    <x v="11"/>
    <s v="⒊"/>
    <x v="10"/>
    <s v="MAR"/>
  </r>
  <r>
    <x v="1"/>
    <s v="律诗"/>
    <s v="五律"/>
    <s v="夜曲"/>
    <x v="11"/>
    <s v="⒊"/>
    <x v="10"/>
    <s v="MAR"/>
  </r>
  <r>
    <x v="1"/>
    <s v="词曲"/>
    <s v="临江仙"/>
    <s v="惜春"/>
    <x v="12"/>
    <s v="⒊"/>
    <x v="10"/>
    <s v="MAR"/>
  </r>
  <r>
    <x v="0"/>
    <s v="律诗"/>
    <s v="五律"/>
    <s v="秋夜二首"/>
    <x v="12"/>
    <s v="⒑"/>
    <x v="3"/>
    <s v="OCT"/>
  </r>
  <r>
    <x v="0"/>
    <s v="律诗"/>
    <s v="五律"/>
    <s v="离情二首"/>
    <x v="12"/>
    <s v="⒒"/>
    <x v="7"/>
    <s v="NOV"/>
  </r>
  <r>
    <x v="2"/>
    <s v="律诗"/>
    <s v="五律"/>
    <s v="集字三首"/>
    <x v="12"/>
    <s v="⒓"/>
    <x v="9"/>
    <s v="DEC"/>
  </r>
  <r>
    <x v="1"/>
    <s v="律诗"/>
    <s v="五律"/>
    <s v="美人"/>
    <x v="13"/>
    <s v="⒈"/>
    <x v="6"/>
    <s v="JAN"/>
  </r>
  <r>
    <x v="3"/>
    <s v="律诗"/>
    <s v="五律"/>
    <s v="留香集六首"/>
    <x v="13"/>
    <s v="⒉"/>
    <x v="4"/>
    <s v="FEB"/>
  </r>
  <r>
    <x v="1"/>
    <s v="律诗"/>
    <s v="五律"/>
    <s v="無题"/>
    <x v="13"/>
    <s v="⒉"/>
    <x v="4"/>
    <s v="FEB"/>
  </r>
  <r>
    <x v="1"/>
    <s v="律诗"/>
    <s v="五律"/>
    <s v="相思"/>
    <x v="13"/>
    <s v="⒉"/>
    <x v="4"/>
    <s v="FEB"/>
  </r>
  <r>
    <x v="0"/>
    <s v="律诗"/>
    <s v="五律"/>
    <s v="客思二首"/>
    <x v="13"/>
    <s v="⒉"/>
    <x v="4"/>
    <s v="FEB"/>
  </r>
  <r>
    <x v="1"/>
    <s v="词曲"/>
    <s v="虞美人"/>
    <s v="伤春景"/>
    <x v="13"/>
    <s v="⒊"/>
    <x v="10"/>
    <s v="MAR"/>
  </r>
  <r>
    <x v="1"/>
    <s v="律诗"/>
    <s v="五律"/>
    <s v="画帘"/>
    <x v="13"/>
    <s v="⒐"/>
    <x v="1"/>
    <s v="SEP"/>
  </r>
  <r>
    <x v="1"/>
    <s v="律诗"/>
    <s v="五律"/>
    <s v="春意"/>
    <x v="13"/>
    <s v="⒑"/>
    <x v="3"/>
    <s v="OCT"/>
  </r>
  <r>
    <x v="0"/>
    <s v="律诗"/>
    <s v="五律"/>
    <s v="秋风二首"/>
    <x v="13"/>
    <s v="⒒"/>
    <x v="7"/>
    <s v="NOV"/>
  </r>
  <r>
    <x v="1"/>
    <s v="词曲"/>
    <s v="虞美人"/>
    <s v="诉春情"/>
    <x v="13"/>
    <s v="⒒"/>
    <x v="7"/>
    <s v="NOV"/>
  </r>
  <r>
    <x v="0"/>
    <s v="词曲"/>
    <s v="臨江仙"/>
    <s v="春風＊二首"/>
    <x v="13"/>
    <s v="⒒"/>
    <x v="7"/>
    <s v="NOV"/>
  </r>
  <r>
    <x v="2"/>
    <s v="律诗"/>
    <s v="五律"/>
    <s v="春册集句三首"/>
    <x v="13"/>
    <s v="⒒"/>
    <x v="7"/>
    <s v="NOV"/>
  </r>
  <r>
    <x v="1"/>
    <s v="律诗"/>
    <s v="五律"/>
    <s v="红楼集句"/>
    <x v="13"/>
    <s v="⒒"/>
    <x v="7"/>
    <s v="NOV"/>
  </r>
  <r>
    <x v="0"/>
    <s v="律诗"/>
    <s v="五律"/>
    <s v="西厢二首"/>
    <x v="13"/>
    <s v="⒒"/>
    <x v="7"/>
    <s v="NOV"/>
  </r>
  <r>
    <x v="4"/>
    <s v="律诗"/>
    <s v="五律"/>
    <s v="孤夜五首"/>
    <x v="13"/>
    <s v="⒒"/>
    <x v="7"/>
    <s v="NOV"/>
  </r>
  <r>
    <x v="1"/>
    <s v="词曲"/>
    <s v="临江仙"/>
    <s v="感赋"/>
    <x v="14"/>
    <s v="⒊"/>
    <x v="10"/>
    <s v="MAR"/>
  </r>
  <r>
    <x v="1"/>
    <s v="律诗"/>
    <s v="五律"/>
    <s v="送别"/>
    <x v="14"/>
    <s v="⒋"/>
    <x v="0"/>
    <s v="APR"/>
  </r>
  <r>
    <x v="1"/>
    <s v="词曲"/>
    <s v="满江红"/>
    <s v="致周琳"/>
    <x v="15"/>
    <s v="⒊"/>
    <x v="10"/>
    <s v="MAR"/>
  </r>
  <r>
    <x v="1"/>
    <s v="词曲"/>
    <s v="水调歌头"/>
    <s v="中秋"/>
    <x v="16"/>
    <s v="⒐"/>
    <x v="1"/>
    <s v="SEP"/>
  </r>
  <r>
    <x v="1"/>
    <s v="词曲"/>
    <s v="金缕曲"/>
    <s v="中秋寄格格"/>
    <x v="17"/>
    <s v="⒐"/>
    <x v="1"/>
    <s v="SEP"/>
  </r>
  <r>
    <x v="1"/>
    <s v="词曲"/>
    <s v="金缕曲"/>
    <s v="中秋书怀"/>
    <x v="17"/>
    <s v="⒐"/>
    <x v="1"/>
    <s v="SEP"/>
  </r>
  <r>
    <x v="1"/>
    <s v="诗歌"/>
    <s v="新韵文诗"/>
    <s v="你和雨"/>
    <x v="18"/>
    <s v="⒊"/>
    <x v="10"/>
    <s v="MAR"/>
  </r>
  <r>
    <x v="1"/>
    <s v="律诗"/>
    <s v="五律"/>
    <s v="今夜"/>
    <x v="19"/>
    <s v="⒋"/>
    <x v="0"/>
    <s v="APR"/>
  </r>
  <r>
    <x v="1"/>
    <s v="律诗"/>
    <s v="五律"/>
    <s v="夏威夷"/>
    <x v="19"/>
    <s v="⒌"/>
    <x v="5"/>
    <s v="MAY"/>
  </r>
  <r>
    <x v="0"/>
    <s v="律诗"/>
    <s v="五律"/>
    <s v="二月登高"/>
    <x v="20"/>
    <s v="⒉"/>
    <x v="4"/>
    <s v="FEB"/>
  </r>
  <r>
    <x v="5"/>
    <s v="文联"/>
    <s v="对联"/>
    <s v="同学盛会"/>
    <x v="20"/>
    <s v="⒉"/>
    <x v="4"/>
    <s v="FEB"/>
  </r>
  <r>
    <x v="1"/>
    <s v="词曲"/>
    <s v="水调歌头"/>
    <s v="會東"/>
    <x v="20"/>
    <s v="⒊"/>
    <x v="10"/>
    <s v="MAR"/>
  </r>
  <r>
    <x v="1"/>
    <s v="词曲"/>
    <s v="临江仙"/>
    <s v="再韻會東"/>
    <x v="20"/>
    <s v="⒊"/>
    <x v="10"/>
    <s v="MAR"/>
  </r>
  <r>
    <x v="1"/>
    <s v="律诗"/>
    <s v="五律"/>
    <s v="春日午後"/>
    <x v="20"/>
    <s v="⒍"/>
    <x v="8"/>
    <s v="JUN"/>
  </r>
  <r>
    <x v="1"/>
    <s v="古诗"/>
    <s v="七言"/>
    <s v="冬夜记梦"/>
    <x v="20"/>
    <s v="⒓"/>
    <x v="9"/>
    <s v="DEC"/>
  </r>
  <r>
    <x v="1"/>
    <s v="律诗"/>
    <s v="五律"/>
    <s v="风雨"/>
    <x v="21"/>
    <s v="⒌"/>
    <x v="5"/>
    <s v="MAY"/>
  </r>
  <r>
    <x v="1"/>
    <s v="古诗"/>
    <s v="七言"/>
    <s v="流言"/>
    <x v="21"/>
    <s v="⒌"/>
    <x v="5"/>
    <s v="MAY"/>
  </r>
  <r>
    <x v="1"/>
    <s v="古诗"/>
    <s v="七言"/>
    <s v="讽言"/>
    <x v="21"/>
    <s v="⒌"/>
    <x v="5"/>
    <s v="MAY"/>
  </r>
  <r>
    <x v="1"/>
    <s v="古诗"/>
    <s v="七言"/>
    <s v="致贺"/>
    <x v="21"/>
    <s v="⒍"/>
    <x v="8"/>
    <s v="JUN"/>
  </r>
  <r>
    <x v="1"/>
    <s v="词曲"/>
    <s v="蝶戀花"/>
    <s v="腊雪贺辰致琳儿"/>
    <x v="22"/>
    <s v="⒈"/>
    <x v="6"/>
    <s v="JAN"/>
  </r>
  <r>
    <x v="0"/>
    <s v="律诗"/>
    <s v="七律"/>
    <s v="中秋二首"/>
    <x v="22"/>
    <s v="⒐"/>
    <x v="1"/>
    <s v="SEP"/>
  </r>
  <r>
    <x v="1"/>
    <s v="律诗"/>
    <s v="七律"/>
    <s v="加勒比游记"/>
    <x v="22"/>
    <s v="⒓"/>
    <x v="9"/>
    <s v="DEC"/>
  </r>
  <r>
    <x v="1"/>
    <s v="律诗"/>
    <s v="七律"/>
    <s v="雪花"/>
    <x v="22"/>
    <s v="⒓"/>
    <x v="9"/>
    <s v="DEC"/>
  </r>
  <r>
    <x v="1"/>
    <s v="律诗"/>
    <s v="五律"/>
    <s v="臘九賀辰"/>
    <x v="23"/>
    <s v="⒈"/>
    <x v="6"/>
    <s v="JAN"/>
  </r>
  <r>
    <x v="1"/>
    <s v="古诗"/>
    <s v="七言"/>
    <s v="串烧网络流行语"/>
    <x v="23"/>
    <s v="⒈"/>
    <x v="6"/>
    <s v="JAN"/>
  </r>
  <r>
    <x v="1"/>
    <s v="古诗"/>
    <s v="七言"/>
    <s v="咏时事"/>
    <x v="23"/>
    <s v="⒈"/>
    <x v="6"/>
    <s v="JAN"/>
  </r>
  <r>
    <x v="0"/>
    <s v="律诗"/>
    <s v="七律"/>
    <s v="己丑中秋同韻二首"/>
    <x v="23"/>
    <s v="⒐"/>
    <x v="1"/>
    <s v="SEP"/>
  </r>
  <r>
    <x v="1"/>
    <s v="古诗"/>
    <s v="七言"/>
    <s v="柏梁體秋韻"/>
    <x v="23"/>
    <s v="⒐"/>
    <x v="1"/>
    <s v="SEP"/>
  </r>
  <r>
    <x v="0"/>
    <s v="律诗"/>
    <s v="五律"/>
    <s v="冬月遠行二首"/>
    <x v="23"/>
    <s v="⒓"/>
    <x v="9"/>
    <s v="DEC"/>
  </r>
  <r>
    <x v="1"/>
    <s v="古诗"/>
    <s v="七言"/>
    <s v="雨中思"/>
    <x v="24"/>
    <s v="⒈"/>
    <x v="6"/>
    <s v="JAN"/>
  </r>
  <r>
    <x v="0"/>
    <s v="词曲"/>
    <s v="虞美人"/>
    <s v="想念二章（冬雲、冬雨）"/>
    <x v="24"/>
    <s v="⒈"/>
    <x v="6"/>
    <s v="JAN"/>
  </r>
  <r>
    <x v="6"/>
    <s v="词曲"/>
    <s v="天净沙"/>
    <s v="斐济十题今韵"/>
    <x v="24"/>
    <s v="⒉"/>
    <x v="4"/>
    <s v="FEB"/>
  </r>
  <r>
    <x v="0"/>
    <s v="词曲"/>
    <s v="望海潮"/>
    <s v="斐济珊瑚海岸"/>
    <x v="24"/>
    <s v="⒉"/>
    <x v="4"/>
    <s v="FEB"/>
  </r>
  <r>
    <x v="1"/>
    <s v="诗歌"/>
    <s v="英文诗"/>
    <s v="告别斐济"/>
    <x v="24"/>
    <s v="⒉"/>
    <x v="4"/>
    <s v="FEB"/>
  </r>
  <r>
    <x v="0"/>
    <s v="词曲"/>
    <s v="山坡羊"/>
    <s v="西北偏北国家公园二首"/>
    <x v="24"/>
    <s v="⒏"/>
    <x v="2"/>
    <s v="AUG"/>
  </r>
  <r>
    <x v="0"/>
    <s v="词曲"/>
    <s v="水调歌头"/>
    <s v="中秋"/>
    <x v="24"/>
    <s v="⒐"/>
    <x v="1"/>
    <s v="SEP"/>
  </r>
  <r>
    <x v="1"/>
    <s v="诗歌"/>
    <s v="英文诗"/>
    <s v="秋色雷德蒙"/>
    <x v="24"/>
    <s v="⒑"/>
    <x v="3"/>
    <s v="OCT"/>
  </r>
  <r>
    <x v="1"/>
    <s v="古诗"/>
    <s v="七言"/>
    <s v="梦中梦"/>
    <x v="24"/>
    <s v="⒑"/>
    <x v="3"/>
    <s v="OCT"/>
  </r>
  <r>
    <x v="0"/>
    <s v="律诗"/>
    <s v="七律"/>
    <s v="寒雨二首"/>
    <x v="25"/>
    <s v="⒈"/>
    <x v="6"/>
    <s v="JAN"/>
  </r>
  <r>
    <x v="1"/>
    <s v="词曲"/>
    <s v="沁園春"/>
    <s v="重懷周公和毛詞原韻"/>
    <x v="25"/>
    <s v="⒈"/>
    <x v="6"/>
    <s v="JAN"/>
  </r>
  <r>
    <x v="1"/>
    <s v="诗歌"/>
    <s v="新韵文诗"/>
    <s v="晨跑"/>
    <x v="25"/>
    <s v="⒈"/>
    <x v="6"/>
    <s v="JAN"/>
  </r>
  <r>
    <x v="1"/>
    <s v="诗歌"/>
    <s v="英文诗"/>
    <s v="新年伊始"/>
    <x v="25"/>
    <s v="⒉"/>
    <x v="4"/>
    <s v="FEB"/>
  </r>
  <r>
    <x v="1"/>
    <s v="律诗"/>
    <s v="五律"/>
    <s v="夜寻"/>
    <x v="25"/>
    <s v="⒉"/>
    <x v="4"/>
    <s v="FEB"/>
  </r>
  <r>
    <x v="1"/>
    <s v="律诗"/>
    <s v="七律"/>
    <s v="反思（普韻）"/>
    <x v="25"/>
    <s v="⒉"/>
    <x v="4"/>
    <s v="FEB"/>
  </r>
  <r>
    <x v="1"/>
    <s v="律诗"/>
    <s v="七律"/>
    <s v="題四川豆花莊"/>
    <x v="25"/>
    <s v="⒉"/>
    <x v="4"/>
    <s v="FEB"/>
  </r>
  <r>
    <x v="1"/>
    <s v="古诗"/>
    <s v="五言"/>
    <s v="梦醒"/>
    <x v="25"/>
    <s v="⒍"/>
    <x v="8"/>
    <s v="JUN"/>
  </r>
  <r>
    <x v="1"/>
    <s v="词曲"/>
    <s v="行香子"/>
    <s v="中秋"/>
    <x v="25"/>
    <s v="⒐"/>
    <x v="1"/>
    <s v="SEP"/>
  </r>
  <r>
    <x v="4"/>
    <s v="词曲"/>
    <s v="行香子"/>
    <s v="加州行五首"/>
    <x v="25"/>
    <s v="⒐"/>
    <x v="1"/>
    <s v="SEP"/>
  </r>
  <r>
    <x v="1"/>
    <s v="词曲"/>
    <s v="行香子"/>
    <s v="蘇克杉山"/>
    <x v="25"/>
    <s v="⒑"/>
    <x v="3"/>
    <s v="OCT"/>
  </r>
  <r>
    <x v="2"/>
    <s v="律诗"/>
    <s v="七律"/>
    <s v="看山三首"/>
    <x v="26"/>
    <s v="⒍"/>
    <x v="8"/>
    <s v="JUN"/>
  </r>
  <r>
    <x v="7"/>
    <s v="律诗"/>
    <s v="七律"/>
    <s v="秋興四首"/>
    <x v="26"/>
    <s v="⒑"/>
    <x v="3"/>
    <s v="OCT"/>
  </r>
  <r>
    <x v="1"/>
    <s v="律诗"/>
    <s v="七律"/>
    <s v="病中"/>
    <x v="27"/>
    <s v="⒒"/>
    <x v="7"/>
    <s v="NOV"/>
  </r>
  <r>
    <x v="1"/>
    <s v="词曲"/>
    <s v="行香子"/>
    <s v="火燒天宮（附英文版）"/>
    <x v="28"/>
    <s v="⒉"/>
    <x v="4"/>
    <s v="FEB"/>
  </r>
  <r>
    <x v="1"/>
    <s v="词曲"/>
    <s v="雙調憶江南"/>
    <s v="午後春光"/>
    <x v="28"/>
    <s v="⒊"/>
    <x v="10"/>
    <s v="MAR"/>
  </r>
  <r>
    <x v="1"/>
    <s v="词曲"/>
    <s v="行香子"/>
    <s v="春分"/>
    <x v="28"/>
    <s v="⒊"/>
    <x v="10"/>
    <s v="MAR"/>
  </r>
  <r>
    <x v="1"/>
    <s v="词曲"/>
    <s v="賀新涼"/>
    <s v="小別"/>
    <x v="28"/>
    <s v="⒊"/>
    <x v="10"/>
    <s v="MAR"/>
  </r>
  <r>
    <x v="1"/>
    <s v="词曲"/>
    <s v="賀新涼"/>
    <s v="看雲"/>
    <x v="28"/>
    <s v="⒊"/>
    <x v="10"/>
    <s v="MAR"/>
  </r>
  <r>
    <x v="1"/>
    <s v="词曲"/>
    <s v="临江仙"/>
    <s v="春雨"/>
    <x v="28"/>
    <s v="⒊"/>
    <x v="10"/>
    <s v="MAR"/>
  </r>
  <r>
    <x v="1"/>
    <s v="词曲"/>
    <s v="水调歌头"/>
    <s v="雅安"/>
    <x v="28"/>
    <s v="⒋"/>
    <x v="0"/>
    <s v="APR"/>
  </r>
  <r>
    <x v="1"/>
    <s v="律诗"/>
    <s v="五律"/>
    <s v="初夏西雅圖"/>
    <x v="28"/>
    <s v="⒍"/>
    <x v="8"/>
    <s v="JUN"/>
  </r>
  <r>
    <x v="1"/>
    <s v="词曲"/>
    <s v="行香子"/>
    <s v="夏入雪峰"/>
    <x v="28"/>
    <s v="⒎"/>
    <x v="11"/>
    <s v="JUL"/>
  </r>
  <r>
    <x v="1"/>
    <s v="词曲"/>
    <s v="行香子"/>
    <s v="朝霞"/>
    <x v="28"/>
    <s v="⒐"/>
    <x v="1"/>
    <s v="SEP"/>
  </r>
  <r>
    <x v="0"/>
    <s v="词曲"/>
    <s v="天净沙"/>
    <s v="秋（二首）"/>
    <x v="28"/>
    <s v="⒒"/>
    <x v="7"/>
    <s v="NOV"/>
  </r>
  <r>
    <x v="1"/>
    <s v="律诗"/>
    <s v="七律"/>
    <s v="冬晴"/>
    <x v="29"/>
    <s v="⒈"/>
    <x v="6"/>
    <s v="JAN"/>
  </r>
  <r>
    <x v="1"/>
    <s v="词曲"/>
    <s v="高陽臺"/>
    <s v="写在情人节"/>
    <x v="29"/>
    <s v="⒉"/>
    <x v="4"/>
    <s v="FEB"/>
  </r>
  <r>
    <x v="1"/>
    <s v="古诗"/>
    <s v="五言"/>
    <s v="佛州劳德戴尔机场"/>
    <x v="29"/>
    <s v="⒊"/>
    <x v="10"/>
    <s v="MAR"/>
  </r>
  <r>
    <x v="1"/>
    <s v="律诗"/>
    <s v="五律"/>
    <s v="湖山漫步寄相思"/>
    <x v="30"/>
    <s v="⒊"/>
    <x v="10"/>
    <s v="MAR"/>
  </r>
  <r>
    <x v="1"/>
    <s v="古诗"/>
    <s v="五言"/>
    <s v="早春病中拟句"/>
    <x v="30"/>
    <s v="⒋"/>
    <x v="0"/>
    <s v="APR"/>
  </r>
  <r>
    <x v="1"/>
    <s v="古诗"/>
    <s v="五言"/>
    <s v="西安謠"/>
    <x v="30"/>
    <s v="⒌"/>
    <x v="5"/>
    <s v="MAY"/>
  </r>
  <r>
    <x v="1"/>
    <s v="词曲"/>
    <s v="行香子"/>
    <s v="京城會"/>
    <x v="30"/>
    <s v="⒌"/>
    <x v="5"/>
    <s v="MAY"/>
  </r>
  <r>
    <x v="1"/>
    <s v="词曲"/>
    <s v="水调歌头"/>
    <s v="皖南行"/>
    <x v="30"/>
    <s v="⒌"/>
    <x v="5"/>
    <s v="MAY"/>
  </r>
  <r>
    <x v="1"/>
    <s v="律诗"/>
    <s v="五律"/>
    <s v="俄勒冈海滩"/>
    <x v="31"/>
    <s v="⒐"/>
    <x v="1"/>
    <s v="SEP"/>
  </r>
  <r>
    <x v="1"/>
    <s v="律诗"/>
    <s v="五律"/>
    <s v="週年紀念"/>
    <x v="31"/>
    <s v="⒐"/>
    <x v="1"/>
    <s v="SEP"/>
  </r>
  <r>
    <x v="1"/>
    <s v="诗歌"/>
    <s v="新韵文诗"/>
    <s v="春天"/>
    <x v="31"/>
    <s v="⒑"/>
    <x v="3"/>
    <s v="OCT"/>
  </r>
  <r>
    <x v="1"/>
    <s v="律诗"/>
    <s v="七律"/>
    <s v="夏威夷可愛島"/>
    <x v="31"/>
    <s v="⒒"/>
    <x v="7"/>
    <s v="NOV"/>
  </r>
  <r>
    <x v="1"/>
    <s v="词曲"/>
    <s v="临江仙"/>
    <s v="重聚"/>
    <x v="32"/>
    <s v="⒍"/>
    <x v="8"/>
    <s v="JUN"/>
  </r>
  <r>
    <x v="0"/>
    <s v="词曲"/>
    <s v="望海潮"/>
    <s v="新西蘭"/>
    <x v="33"/>
    <s v="⒓"/>
    <x v="9"/>
    <s v="DEC"/>
  </r>
  <r>
    <x v="1"/>
    <s v="词曲"/>
    <s v="临江仙"/>
    <s v="新西蘭萬納卡"/>
    <x v="33"/>
    <s v="⒓"/>
    <x v="9"/>
    <s v="DEC"/>
  </r>
  <r>
    <x v="1"/>
    <s v="词曲"/>
    <s v="行香子"/>
    <s v="新西蘭懷奧塔普"/>
    <x v="33"/>
    <s v="⒓"/>
    <x v="9"/>
    <s v="DEC"/>
  </r>
  <r>
    <x v="1"/>
    <s v="律诗"/>
    <s v="七律"/>
    <s v="新西蘭南島綠色"/>
    <x v="33"/>
    <s v="⒓"/>
    <x v="9"/>
    <s v="DEC"/>
  </r>
  <r>
    <x v="0"/>
    <s v="律诗"/>
    <s v="七律"/>
    <s v="空留"/>
    <x v="34"/>
    <s v="⒏"/>
    <x v="2"/>
    <s v="AUG"/>
  </r>
  <r>
    <x v="1"/>
    <s v="律诗"/>
    <s v="七律"/>
    <s v="赠周琳"/>
    <x v="34"/>
    <s v="⒒"/>
    <x v="7"/>
    <s v="NOV"/>
  </r>
  <r>
    <x v="0"/>
    <s v="律诗"/>
    <s v="七律"/>
    <s v="残秋"/>
    <x v="34"/>
    <s v="⒒"/>
    <x v="7"/>
    <s v="NOV"/>
  </r>
  <r>
    <x v="1"/>
    <s v="古诗"/>
    <s v="七言"/>
    <s v="记梦之纪念疫情"/>
    <x v="34"/>
    <s v="⒓"/>
    <x v="9"/>
    <s v="DEC"/>
  </r>
  <r>
    <x v="8"/>
    <s v="词曲"/>
    <s v="南乡子"/>
    <s v="宇宙往事"/>
    <x v="34"/>
    <s v="⒓"/>
    <x v="9"/>
    <s v="DEC"/>
  </r>
  <r>
    <x v="1"/>
    <s v="词曲"/>
    <s v="菩萨蛮"/>
    <s v="嫦娥五号奔月归来"/>
    <x v="34"/>
    <s v="⒓"/>
    <x v="9"/>
    <s v="DEC"/>
  </r>
  <r>
    <x v="0"/>
    <s v="词曲"/>
    <s v="水调歌头"/>
    <s v="嫦娥五号"/>
    <x v="34"/>
    <s v="⒓"/>
    <x v="9"/>
    <s v="DEC"/>
  </r>
  <r>
    <x v="1"/>
    <s v="词曲"/>
    <s v="行香子"/>
    <s v="赠周琳"/>
    <x v="34"/>
    <s v="⒓"/>
    <x v="9"/>
    <s v="DEC"/>
  </r>
  <r>
    <x v="1"/>
    <s v="古诗"/>
    <s v="七言"/>
    <s v="论无题绝句"/>
    <x v="35"/>
    <s v="⒈"/>
    <x v="6"/>
    <s v="JAN"/>
  </r>
  <r>
    <x v="2"/>
    <s v="古诗"/>
    <s v="七言"/>
    <s v="新韵杂篇"/>
    <x v="35"/>
    <s v="⒈"/>
    <x v="6"/>
    <s v="JAN"/>
  </r>
  <r>
    <x v="0"/>
    <s v="词曲"/>
    <s v="水调歌头"/>
    <s v="新年感赋"/>
    <x v="35"/>
    <s v="⒈"/>
    <x v="6"/>
    <s v="JAN"/>
  </r>
  <r>
    <x v="1"/>
    <s v="词曲"/>
    <s v="水调歌头"/>
    <s v="祭一月八"/>
    <x v="35"/>
    <s v="⒈"/>
    <x v="6"/>
    <s v="JAN"/>
  </r>
  <r>
    <x v="1"/>
    <s v="古诗"/>
    <s v="五言"/>
    <s v="明宫谋"/>
    <x v="35"/>
    <s v="⒉"/>
    <x v="4"/>
    <s v="FEB"/>
  </r>
  <r>
    <x v="1"/>
    <s v="词曲"/>
    <s v="水调歌头"/>
    <s v="南迁步苏词韵"/>
    <x v="35"/>
    <s v="⒊"/>
    <x v="10"/>
    <s v="MAR"/>
  </r>
  <r>
    <x v="1"/>
    <s v="词曲"/>
    <s v="虞美人"/>
    <s v="樱花"/>
    <x v="35"/>
    <s v="⒊"/>
    <x v="10"/>
    <s v="MAR"/>
  </r>
  <r>
    <x v="1"/>
    <s v="诗歌"/>
    <s v="英文诗"/>
    <s v="清平乐"/>
    <x v="35"/>
    <s v="⒋"/>
    <x v="0"/>
    <s v="APR"/>
  </r>
  <r>
    <x v="1"/>
    <s v="诗歌"/>
    <s v="英文诗"/>
    <s v="萨瓦纳"/>
    <x v="35"/>
    <s v="⒍"/>
    <x v="8"/>
    <s v="JUN"/>
  </r>
  <r>
    <x v="2"/>
    <s v="律诗"/>
    <s v="七律"/>
    <s v="夏梦三首"/>
    <x v="35"/>
    <s v="⒎"/>
    <x v="11"/>
    <s v="JUL"/>
  </r>
  <r>
    <x v="7"/>
    <s v="律诗"/>
    <s v="七律"/>
    <s v="空度四首"/>
    <x v="35"/>
    <s v="⒏"/>
    <x v="2"/>
    <s v="AUG"/>
  </r>
  <r>
    <x v="1"/>
    <s v="词曲"/>
    <s v="水调歌头"/>
    <s v="周琳"/>
    <x v="35"/>
    <s v="⒏"/>
    <x v="2"/>
    <s v="AUG"/>
  </r>
  <r>
    <x v="1"/>
    <s v="词曲"/>
    <s v="水调歌头"/>
    <s v="纸上兵"/>
    <x v="35"/>
    <s v="⒐"/>
    <x v="1"/>
    <s v="SEP"/>
  </r>
  <r>
    <x v="1"/>
    <s v="古诗"/>
    <s v="七言"/>
    <s v="读兵法【新韵】"/>
    <x v="35"/>
    <s v="⒐"/>
    <x v="1"/>
    <s v="SEP"/>
  </r>
  <r>
    <x v="1"/>
    <s v="古诗"/>
    <s v="七言"/>
    <s v="读老子【杂韵】"/>
    <x v="35"/>
    <s v="⒐"/>
    <x v="1"/>
    <s v="SEP"/>
  </r>
  <r>
    <x v="8"/>
    <s v="律诗"/>
    <s v="七律"/>
    <s v="读《将夜》集句"/>
    <x v="35"/>
    <s v="⒐"/>
    <x v="1"/>
    <s v="SEP"/>
  </r>
  <r>
    <x v="3"/>
    <s v="律诗"/>
    <s v="七律"/>
    <s v="读书札记"/>
    <x v="35"/>
    <s v="⒐"/>
    <x v="1"/>
    <s v="SEP"/>
  </r>
  <r>
    <x v="1"/>
    <s v="词曲"/>
    <s v="水调歌头"/>
    <s v="中秋"/>
    <x v="35"/>
    <s v="⒐"/>
    <x v="1"/>
    <s v="SEP"/>
  </r>
  <r>
    <x v="1"/>
    <s v="词曲"/>
    <s v="水调歌头"/>
    <s v="归来"/>
    <x v="35"/>
    <s v="⒐"/>
    <x v="1"/>
    <s v="SEP"/>
  </r>
  <r>
    <x v="1"/>
    <s v="律诗"/>
    <s v="五律"/>
    <s v="深圳街中"/>
    <x v="35"/>
    <s v="⒑"/>
    <x v="3"/>
    <s v="OCT"/>
  </r>
  <r>
    <x v="0"/>
    <s v="律诗"/>
    <s v="七律"/>
    <s v="秋景"/>
    <x v="35"/>
    <s v="⒒"/>
    <x v="7"/>
    <s v="NOV"/>
  </r>
  <r>
    <x v="1"/>
    <s v="律诗"/>
    <s v="五律"/>
    <s v="读《重生之药香》"/>
    <x v="36"/>
    <s v="⒋"/>
    <x v="0"/>
    <s v="APR"/>
  </r>
  <r>
    <x v="1"/>
    <s v="词曲"/>
    <s v="行香子"/>
    <s v="寄思"/>
    <x v="36"/>
    <s v="⒌"/>
    <x v="5"/>
    <s v="MAY"/>
  </r>
  <r>
    <x v="1"/>
    <s v="古诗"/>
    <s v="七言"/>
    <s v="读《孺子帝》"/>
    <x v="36"/>
    <s v="⒎"/>
    <x v="11"/>
    <s v="JUL"/>
  </r>
  <r>
    <x v="1"/>
    <s v="词曲"/>
    <s v="念奴娇"/>
    <s v="用东坡调"/>
    <x v="36"/>
    <s v="⒐"/>
    <x v="1"/>
    <s v="SEP"/>
  </r>
  <r>
    <x v="1"/>
    <s v="词曲"/>
    <s v="满江红"/>
    <s v="周年赋"/>
    <x v="36"/>
    <s v="⒐"/>
    <x v="1"/>
    <s v="SEP"/>
  </r>
  <r>
    <x v="1"/>
    <s v="词曲"/>
    <s v="临江仙"/>
    <s v="重聚"/>
    <x v="36"/>
    <s v="⒑"/>
    <x v="3"/>
    <s v="OCT"/>
  </r>
  <r>
    <x v="1"/>
    <s v="律诗"/>
    <s v="七律"/>
    <s v="秋野"/>
    <x v="36"/>
    <s v="⒑"/>
    <x v="3"/>
    <s v="OCT"/>
  </r>
  <r>
    <x v="1"/>
    <s v="律诗"/>
    <s v="七律"/>
    <s v="望夜"/>
    <x v="36"/>
    <s v="⒒"/>
    <x v="7"/>
    <s v="NOV"/>
  </r>
  <r>
    <x v="1"/>
    <s v="古诗"/>
    <s v="七言"/>
    <s v="夜雨借佚名诗句"/>
    <x v="36"/>
    <s v="⒒"/>
    <x v="7"/>
    <s v="NOV"/>
  </r>
  <r>
    <x v="0"/>
    <s v="律诗"/>
    <s v="七律"/>
    <s v="读《簪中录》笔记"/>
    <x v="37"/>
    <s v="⒈"/>
    <x v="6"/>
    <s v="JAN"/>
  </r>
  <r>
    <x v="0"/>
    <s v="律诗"/>
    <s v="七律"/>
    <s v="读《三体》"/>
    <x v="37"/>
    <s v="⒉"/>
    <x v="4"/>
    <s v="FEB"/>
  </r>
  <r>
    <x v="0"/>
    <s v="律诗"/>
    <s v="七律"/>
    <s v="读《百妖谱》"/>
    <x v="37"/>
    <s v="⒊"/>
    <x v="10"/>
    <s v="MAR"/>
  </r>
  <r>
    <x v="1"/>
    <s v="词曲"/>
    <s v="水调歌头"/>
    <s v="读史"/>
    <x v="37"/>
    <s v="⒊"/>
    <x v="10"/>
    <s v="MAR"/>
  </r>
  <r>
    <x v="1"/>
    <s v="词曲"/>
    <s v="念奴娇"/>
    <s v="修真"/>
    <x v="37"/>
    <s v="⒊"/>
    <x v="10"/>
    <s v="MAR"/>
  </r>
  <r>
    <x v="7"/>
    <s v="律诗"/>
    <s v="七律"/>
    <s v="杂感"/>
    <x v="37"/>
    <s v="⒊"/>
    <x v="10"/>
    <s v="MAR"/>
  </r>
  <r>
    <x v="1"/>
    <s v="律诗"/>
    <s v="五律"/>
    <s v="雲窗"/>
    <x v="37"/>
    <s v="⒊"/>
    <x v="10"/>
    <s v="MAR"/>
  </r>
  <r>
    <x v="1"/>
    <s v="古诗"/>
    <s v="七言"/>
    <s v="书评之当代言情小说"/>
    <x v="37"/>
    <s v="⒊"/>
    <x v="10"/>
    <s v="APR"/>
  </r>
  <r>
    <x v="1"/>
    <s v="词曲"/>
    <s v="满江红"/>
    <s v="上海外滩"/>
    <x v="37"/>
    <s v="⒍"/>
    <x v="8"/>
    <s v="JUN"/>
  </r>
  <r>
    <x v="1"/>
    <s v="律诗"/>
    <s v="七律"/>
    <s v="福州午後鼓楼东街迹行湖滨路"/>
    <x v="37"/>
    <s v="⒍"/>
    <x v="8"/>
    <s v="JUN"/>
  </r>
  <r>
    <x v="1"/>
    <s v="词曲"/>
    <s v="水调歌头"/>
    <s v="福州行"/>
    <x v="37"/>
    <s v="⒍"/>
    <x v="8"/>
    <s v="JUN"/>
  </r>
  <r>
    <x v="1"/>
    <s v="律诗"/>
    <s v="五律"/>
    <s v="逆旅杂想"/>
    <x v="37"/>
    <s v="⒎"/>
    <x v="11"/>
    <s v="JUL"/>
  </r>
  <r>
    <x v="1"/>
    <s v="律诗"/>
    <s v="七律"/>
    <s v="雲机飞行签"/>
    <x v="37"/>
    <s v="⒎"/>
    <x v="11"/>
    <s v="JUL"/>
  </r>
  <r>
    <x v="1"/>
    <s v="律诗"/>
    <s v="七律"/>
    <s v="夏日病中对湖山"/>
    <x v="37"/>
    <s v="⒏"/>
    <x v="2"/>
    <s v="AUG"/>
  </r>
  <r>
    <x v="2"/>
    <s v="律诗"/>
    <s v="七律"/>
    <s v="读如水意《战争》三部曲"/>
    <x v="37"/>
    <s v="⒑"/>
    <x v="3"/>
    <s v="OCT"/>
  </r>
  <r>
    <x v="1"/>
    <s v="律诗"/>
    <s v="七律"/>
    <s v="读如水意《火力法则》"/>
    <x v="37"/>
    <s v="⒓"/>
    <x v="9"/>
    <s v="DEC"/>
  </r>
  <r>
    <x v="1"/>
    <s v="古诗"/>
    <s v="七言"/>
    <s v="菜根谭集句"/>
    <x v="37"/>
    <s v="⒓"/>
    <x v="9"/>
    <s v="DEC"/>
  </r>
  <r>
    <x v="1"/>
    <s v="词曲"/>
    <s v="天净沙"/>
    <s v="旧城"/>
    <x v="38"/>
    <s v="⒈"/>
    <x v="6"/>
    <s v="JAN"/>
  </r>
  <r>
    <x v="1"/>
    <s v="律诗"/>
    <s v="七律"/>
    <s v="飞简（寄周琳）"/>
    <x v="38"/>
    <s v="⒉"/>
    <x v="4"/>
    <s v="FEB"/>
  </r>
  <r>
    <x v="0"/>
    <s v="律诗"/>
    <s v="七律"/>
    <s v="时间相对论"/>
    <x v="38"/>
    <s v="⒊"/>
    <x v="10"/>
    <s v="MAR"/>
  </r>
  <r>
    <x v="4"/>
    <s v="律诗"/>
    <s v="五律"/>
    <s v="杂韵五篇"/>
    <x v="38"/>
    <s v="⒊"/>
    <x v="10"/>
    <s v="MAR"/>
  </r>
  <r>
    <x v="1"/>
    <s v="律诗"/>
    <s v="七律"/>
    <s v="读书摘句"/>
    <x v="38"/>
    <s v="⒎"/>
    <x v="11"/>
    <s v="JUL"/>
  </r>
  <r>
    <x v="2"/>
    <s v="词曲"/>
    <s v="行香子"/>
    <s v="德国游"/>
    <x v="38"/>
    <s v="⒐"/>
    <x v="1"/>
    <s v="SEP"/>
  </r>
  <r>
    <x v="1"/>
    <s v="律诗"/>
    <s v="五律"/>
    <s v="雲机"/>
    <x v="38"/>
    <s v="⒑"/>
    <x v="3"/>
    <s v="OCT"/>
  </r>
  <r>
    <x v="0"/>
    <s v="律诗"/>
    <s v="七律"/>
    <s v="写意二首"/>
    <x v="39"/>
    <s v="⒉"/>
    <x v="4"/>
    <s v="FEB"/>
  </r>
  <r>
    <x v="1"/>
    <s v="律诗"/>
    <s v="七律"/>
    <s v="新韵骊歌改自李宗盛词"/>
    <x v="39"/>
    <s v="⒉"/>
    <x v="4"/>
    <s v="FEB"/>
  </r>
  <r>
    <x v="8"/>
    <s v="律诗"/>
    <s v="七律"/>
    <s v="新韵杂题＋电脑集句"/>
    <x v="39"/>
    <s v="⒉"/>
    <x v="4"/>
    <s v="FEB"/>
  </r>
  <r>
    <x v="1"/>
    <s v="词曲"/>
    <s v="水调歌头"/>
    <s v="道法鸿蒙"/>
    <x v="39"/>
    <s v="⒉"/>
    <x v="4"/>
    <s v="FEB"/>
  </r>
  <r>
    <x v="1"/>
    <s v="词曲"/>
    <s v="水调歌头"/>
    <s v="雲中阙"/>
    <x v="39"/>
    <s v="⒉"/>
    <x v="4"/>
    <s v="FEB"/>
  </r>
  <r>
    <x v="1"/>
    <s v="律诗"/>
    <s v="五律"/>
    <s v="落仙"/>
    <x v="39"/>
    <s v="⒋"/>
    <x v="0"/>
    <s v="APR"/>
  </r>
  <r>
    <x v="1"/>
    <s v="词曲"/>
    <s v="满江红"/>
    <s v="游思杭州学士亭"/>
    <x v="39"/>
    <s v="⒌"/>
    <x v="5"/>
    <s v="MAY"/>
  </r>
  <r>
    <x v="1"/>
    <s v="律诗"/>
    <s v="七律"/>
    <s v="墨西芝华湾"/>
    <x v="39"/>
    <s v="⒍"/>
    <x v="8"/>
    <s v="JUN"/>
  </r>
  <r>
    <x v="1"/>
    <s v="词曲"/>
    <s v="雨霖铃"/>
    <s v="雲网别踪"/>
    <x v="39"/>
    <s v="⒎"/>
    <x v="11"/>
    <s v="JUL"/>
  </r>
  <r>
    <x v="1"/>
    <s v="词曲"/>
    <s v="八声甘州"/>
    <s v="萨瓦纳"/>
    <x v="39"/>
    <s v="⒎"/>
    <x v="11"/>
    <s v="JUL"/>
  </r>
  <r>
    <x v="0"/>
    <s v="律诗"/>
    <s v="七律"/>
    <s v="杂感"/>
    <x v="39"/>
    <s v="⒎"/>
    <x v="11"/>
    <s v="JUL"/>
  </r>
  <r>
    <x v="1"/>
    <s v="律诗"/>
    <s v="七律"/>
    <s v="英诗研习心得"/>
    <x v="39"/>
    <s v="⒎"/>
    <x v="11"/>
    <s v="JUL"/>
  </r>
  <r>
    <x v="1"/>
    <s v="律诗"/>
    <s v="七律"/>
    <s v="双韵联句"/>
    <x v="39"/>
    <s v="⒏"/>
    <x v="2"/>
    <s v="AUG"/>
  </r>
  <r>
    <x v="1"/>
    <s v="词曲"/>
    <s v="行香子"/>
    <s v="致友"/>
    <x v="39"/>
    <s v="⒏"/>
    <x v="2"/>
    <s v="AUG"/>
  </r>
  <r>
    <x v="1"/>
    <s v="词曲"/>
    <s v="临江仙"/>
    <s v="重忆"/>
    <x v="39"/>
    <s v="⒐"/>
    <x v="1"/>
    <s v="SEP"/>
  </r>
  <r>
    <x v="1"/>
    <s v="词曲"/>
    <s v="沁园春"/>
    <s v="读兵"/>
    <x v="39"/>
    <s v="⒑"/>
    <x v="3"/>
    <s v="OCT"/>
  </r>
  <r>
    <x v="1"/>
    <s v="古诗"/>
    <s v="四言"/>
    <s v="赠黄老"/>
    <x v="39"/>
    <s v="⒑"/>
    <x v="3"/>
    <s v="OCT"/>
  </r>
  <r>
    <x v="1"/>
    <s v="古诗"/>
    <s v="七言"/>
    <s v="病後"/>
    <x v="39"/>
    <s v="⒒"/>
    <x v="7"/>
    <s v="NOV"/>
  </r>
  <r>
    <x v="1"/>
    <s v="律诗"/>
    <s v="七律"/>
    <s v="梦与仙友同翱"/>
    <x v="39"/>
    <s v="⒓"/>
    <x v="9"/>
    <s v="DEC"/>
  </r>
  <r>
    <x v="1"/>
    <s v="律诗"/>
    <s v="七律"/>
    <s v="大溪地游记"/>
    <x v="39"/>
    <s v="⒓"/>
    <x v="9"/>
    <s v="DEC"/>
  </r>
  <r>
    <x v="1"/>
    <s v="古诗"/>
    <s v="五言"/>
    <s v="维港晨光"/>
    <x v="39"/>
    <s v="⒓"/>
    <x v="9"/>
    <s v="DEC"/>
  </r>
  <r>
    <x v="9"/>
    <m/>
    <m/>
    <m/>
    <x v="40"/>
    <m/>
    <x v="12"/>
    <m/>
  </r>
</pivotCacheRecords>
</file>

<file path=xl/pivotCache/pivotCacheRecords2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18">
  <r>
    <n v="2"/>
    <s v="律诗"/>
    <s v="五律"/>
    <s v="春游鳝溪二首"/>
    <x v="0"/>
    <s v="⒋"/>
    <n v="4"/>
    <x v="0"/>
    <x v="0"/>
    <s v="1 - Spring"/>
    <x v="0"/>
  </r>
  <r>
    <n v="2"/>
    <s v="律诗"/>
    <s v="五律"/>
    <s v="秋游青芝寺二首"/>
    <x v="0"/>
    <s v="⒐"/>
    <n v="9"/>
    <x v="1"/>
    <x v="1"/>
    <s v="3 - Autumn"/>
    <x v="0"/>
  </r>
  <r>
    <n v="2"/>
    <s v="律诗"/>
    <s v="五律"/>
    <s v="西湖二首"/>
    <x v="1"/>
    <s v="⒏"/>
    <n v="8"/>
    <x v="2"/>
    <x v="2"/>
    <s v="2 - Summer"/>
    <x v="1"/>
  </r>
  <r>
    <n v="1"/>
    <s v="词曲"/>
    <s v="忆江南"/>
    <s v="榕城春"/>
    <x v="2"/>
    <s v="⒐"/>
    <n v="9"/>
    <x v="1"/>
    <x v="1"/>
    <s v="3 - Autumn"/>
    <x v="1"/>
  </r>
  <r>
    <n v="1"/>
    <s v="词曲"/>
    <s v="采桑子"/>
    <s v="湖趣"/>
    <x v="2"/>
    <s v="⒐"/>
    <n v="9"/>
    <x v="1"/>
    <x v="1"/>
    <s v="3 - Autumn"/>
    <x v="1"/>
  </r>
  <r>
    <n v="1"/>
    <s v="词曲"/>
    <s v="渔家傲"/>
    <s v="夜雨泊江"/>
    <x v="2"/>
    <s v="⒐"/>
    <n v="9"/>
    <x v="1"/>
    <x v="1"/>
    <s v="3 - Autumn"/>
    <x v="1"/>
  </r>
  <r>
    <n v="1"/>
    <s v="词曲"/>
    <s v="六洲歌头"/>
    <s v="夕阳西下"/>
    <x v="2"/>
    <s v="⒐"/>
    <n v="9"/>
    <x v="1"/>
    <x v="1"/>
    <s v="3 - Autumn"/>
    <x v="1"/>
  </r>
  <r>
    <n v="3"/>
    <s v="古诗"/>
    <s v="七言"/>
    <s v="江南感赋、春思、闽浪残昏"/>
    <x v="2"/>
    <s v="⒑"/>
    <n v="10"/>
    <x v="3"/>
    <x v="1"/>
    <s v="3 - Autumn"/>
    <x v="1"/>
  </r>
  <r>
    <n v="1"/>
    <s v="词曲"/>
    <s v="水仙子"/>
    <s v="除夕"/>
    <x v="3"/>
    <s v="⒉"/>
    <n v="2"/>
    <x v="4"/>
    <x v="3"/>
    <s v="4 - Winter"/>
    <x v="1"/>
  </r>
  <r>
    <n v="1"/>
    <s v="词曲"/>
    <s v="菩萨蛮"/>
    <s v="元夕"/>
    <x v="3"/>
    <s v="⒉"/>
    <n v="2"/>
    <x v="4"/>
    <x v="3"/>
    <s v="4 - Winter"/>
    <x v="1"/>
  </r>
  <r>
    <n v="1"/>
    <s v="词曲"/>
    <s v="调笑令"/>
    <s v="踏青"/>
    <x v="3"/>
    <s v="⒋"/>
    <n v="4"/>
    <x v="0"/>
    <x v="0"/>
    <s v="1 - Spring"/>
    <x v="1"/>
  </r>
  <r>
    <n v="1"/>
    <s v="词曲"/>
    <s v="少年游"/>
    <s v="寄友"/>
    <x v="3"/>
    <s v="⒌"/>
    <n v="5"/>
    <x v="5"/>
    <x v="0"/>
    <s v="1 - Spring"/>
    <x v="1"/>
  </r>
  <r>
    <n v="1"/>
    <s v="词曲"/>
    <s v="满江红"/>
    <s v="清明"/>
    <x v="3"/>
    <s v="⒌"/>
    <n v="5"/>
    <x v="5"/>
    <x v="0"/>
    <s v="1 - Spring"/>
    <x v="1"/>
  </r>
  <r>
    <n v="1"/>
    <s v="词曲"/>
    <s v="青玉案"/>
    <s v="除夕"/>
    <x v="4"/>
    <s v="⒉"/>
    <n v="2"/>
    <x v="4"/>
    <x v="3"/>
    <s v="4 - Winter"/>
    <x v="1"/>
  </r>
  <r>
    <n v="1"/>
    <s v="词曲"/>
    <s v="渔歌子"/>
    <s v="大连风情小记"/>
    <x v="4"/>
    <s v="⒏"/>
    <n v="8"/>
    <x v="2"/>
    <x v="2"/>
    <s v="2 - Summer"/>
    <x v="1"/>
  </r>
  <r>
    <n v="1"/>
    <s v="词曲"/>
    <s v="巫山一段雲"/>
    <s v="雲中飞行"/>
    <x v="4"/>
    <s v="⒏"/>
    <n v="8"/>
    <x v="2"/>
    <x v="2"/>
    <s v="2 - Summer"/>
    <x v="1"/>
  </r>
  <r>
    <n v="1"/>
    <s v="词曲"/>
    <s v="望海潮"/>
    <s v="旅顺口怀古"/>
    <x v="4"/>
    <s v="⒏"/>
    <n v="8"/>
    <x v="2"/>
    <x v="2"/>
    <s v="2 - Summer"/>
    <x v="1"/>
  </r>
  <r>
    <n v="1"/>
    <s v="词曲"/>
    <s v="拜星月慢"/>
    <s v="雨後黄昏，游大连星海公园"/>
    <x v="4"/>
    <s v="⒏"/>
    <n v="8"/>
    <x v="2"/>
    <x v="2"/>
    <s v="2 - Summer"/>
    <x v="1"/>
  </r>
  <r>
    <n v="1"/>
    <s v="词曲"/>
    <s v="忆秦娥"/>
    <s v="清明"/>
    <x v="5"/>
    <s v="⒈"/>
    <n v="1"/>
    <x v="6"/>
    <x v="3"/>
    <s v="4 - Winter"/>
    <x v="1"/>
  </r>
  <r>
    <n v="2"/>
    <s v="古诗"/>
    <s v="七言"/>
    <s v="清明诗钞题後二首"/>
    <x v="5"/>
    <s v="⒈"/>
    <n v="1"/>
    <x v="6"/>
    <x v="3"/>
    <s v="4 - Winter"/>
    <x v="1"/>
  </r>
  <r>
    <n v="1"/>
    <s v="古诗"/>
    <s v="七言"/>
    <s v="寄书友人题後"/>
    <x v="5"/>
    <s v="⒈"/>
    <n v="1"/>
    <x v="6"/>
    <x v="3"/>
    <s v="4 - Winter"/>
    <x v="1"/>
  </r>
  <r>
    <n v="1"/>
    <s v="词曲"/>
    <s v="人月圆"/>
    <s v="十五"/>
    <x v="5"/>
    <s v="⒉"/>
    <n v="2"/>
    <x v="4"/>
    <x v="3"/>
    <s v="4 - Winter"/>
    <x v="1"/>
  </r>
  <r>
    <n v="3"/>
    <s v="古诗"/>
    <s v="七言"/>
    <s v="黄山题咏三首"/>
    <x v="5"/>
    <s v="⒏"/>
    <n v="8"/>
    <x v="2"/>
    <x v="2"/>
    <s v="2 - Summer"/>
    <x v="1"/>
  </r>
  <r>
    <n v="1"/>
    <s v="古诗"/>
    <s v="七言"/>
    <s v="黄山抒怀"/>
    <x v="5"/>
    <s v="⒏"/>
    <n v="8"/>
    <x v="2"/>
    <x v="2"/>
    <s v="2 - Summer"/>
    <x v="1"/>
  </r>
  <r>
    <n v="1"/>
    <s v="律诗"/>
    <s v="五律"/>
    <s v="秋怀"/>
    <x v="6"/>
    <s v="⒑"/>
    <n v="10"/>
    <x v="3"/>
    <x v="1"/>
    <s v="3 - Autumn"/>
    <x v="1"/>
  </r>
  <r>
    <n v="1"/>
    <s v="律诗"/>
    <s v="五律"/>
    <s v="山中感赋"/>
    <x v="6"/>
    <s v="⒑"/>
    <n v="10"/>
    <x v="3"/>
    <x v="1"/>
    <s v="3 - Autumn"/>
    <x v="1"/>
  </r>
  <r>
    <n v="2"/>
    <s v="词曲"/>
    <s v="散曲"/>
    <s v="风雲健二首"/>
    <x v="6"/>
    <s v="⒒"/>
    <n v="11"/>
    <x v="7"/>
    <x v="1"/>
    <s v="3 - Autumn"/>
    <x v="1"/>
  </r>
  <r>
    <n v="1"/>
    <s v="律诗"/>
    <s v="五律"/>
    <s v="新春试笔"/>
    <x v="7"/>
    <s v="⒉"/>
    <n v="2"/>
    <x v="4"/>
    <x v="3"/>
    <s v="4 - Winter"/>
    <x v="1"/>
  </r>
  <r>
    <n v="1"/>
    <s v="律诗"/>
    <s v="五律"/>
    <s v="夏日龙门涧道中"/>
    <x v="7"/>
    <s v="⒏"/>
    <n v="8"/>
    <x v="2"/>
    <x v="2"/>
    <s v="2 - Summer"/>
    <x v="1"/>
  </r>
  <r>
    <n v="1"/>
    <s v="律诗"/>
    <s v="五律"/>
    <s v="夜雨邀同窗龚学士戏作"/>
    <x v="8"/>
    <s v="⒍"/>
    <n v="6"/>
    <x v="8"/>
    <x v="2"/>
    <s v="2 - Summer"/>
    <x v="1"/>
  </r>
  <r>
    <n v="1"/>
    <s v="词曲"/>
    <s v="散曲"/>
    <s v="寒夜别"/>
    <x v="9"/>
    <s v="⒈"/>
    <n v="1"/>
    <x v="6"/>
    <x v="3"/>
    <s v="4 - Winter"/>
    <x v="1"/>
  </r>
  <r>
    <n v="1"/>
    <s v="诗歌"/>
    <s v="新韵文诗"/>
    <s v="雪"/>
    <x v="9"/>
    <s v="⒓"/>
    <n v="12"/>
    <x v="9"/>
    <x v="3"/>
    <s v="4 - Winter"/>
    <x v="1"/>
  </r>
  <r>
    <n v="1"/>
    <s v="律诗"/>
    <s v="五律"/>
    <s v="壬申新年赋笔"/>
    <x v="10"/>
    <s v="⒉"/>
    <n v="2"/>
    <x v="4"/>
    <x v="3"/>
    <s v="4 - Winter"/>
    <x v="2"/>
  </r>
  <r>
    <n v="1"/>
    <s v="律诗"/>
    <s v="五律"/>
    <s v="榕城留句"/>
    <x v="11"/>
    <s v="⒊"/>
    <n v="3"/>
    <x v="10"/>
    <x v="0"/>
    <s v="1 - Spring"/>
    <x v="2"/>
  </r>
  <r>
    <n v="1"/>
    <s v="律诗"/>
    <s v="五律"/>
    <s v="夜曲"/>
    <x v="11"/>
    <s v="⒊"/>
    <n v="3"/>
    <x v="10"/>
    <x v="0"/>
    <s v="1 - Spring"/>
    <x v="2"/>
  </r>
  <r>
    <n v="1"/>
    <s v="词曲"/>
    <s v="临江仙"/>
    <s v="惜春"/>
    <x v="12"/>
    <s v="⒊"/>
    <n v="3"/>
    <x v="10"/>
    <x v="0"/>
    <s v="1 - Spring"/>
    <x v="2"/>
  </r>
  <r>
    <n v="2"/>
    <s v="律诗"/>
    <s v="五律"/>
    <s v="秋夜二首"/>
    <x v="12"/>
    <s v="⒑"/>
    <n v="10"/>
    <x v="3"/>
    <x v="1"/>
    <s v="3 - Autumn"/>
    <x v="2"/>
  </r>
  <r>
    <n v="2"/>
    <s v="律诗"/>
    <s v="五律"/>
    <s v="离情二首"/>
    <x v="12"/>
    <s v="⒒"/>
    <n v="11"/>
    <x v="7"/>
    <x v="1"/>
    <s v="3 - Autumn"/>
    <x v="2"/>
  </r>
  <r>
    <n v="3"/>
    <s v="律诗"/>
    <s v="五律"/>
    <s v="集字三首"/>
    <x v="12"/>
    <s v="⒓"/>
    <n v="12"/>
    <x v="9"/>
    <x v="3"/>
    <s v="4 - Winter"/>
    <x v="2"/>
  </r>
  <r>
    <n v="1"/>
    <s v="律诗"/>
    <s v="五律"/>
    <s v="美人"/>
    <x v="13"/>
    <s v="⒈"/>
    <n v="1"/>
    <x v="6"/>
    <x v="3"/>
    <s v="4 - Winter"/>
    <x v="2"/>
  </r>
  <r>
    <n v="6"/>
    <s v="律诗"/>
    <s v="五律"/>
    <s v="留香集六首"/>
    <x v="13"/>
    <s v="⒉"/>
    <n v="2"/>
    <x v="4"/>
    <x v="3"/>
    <s v="4 - Winter"/>
    <x v="2"/>
  </r>
  <r>
    <n v="1"/>
    <s v="律诗"/>
    <s v="五律"/>
    <s v="無题"/>
    <x v="13"/>
    <s v="⒉"/>
    <n v="2"/>
    <x v="4"/>
    <x v="3"/>
    <s v="4 - Winter"/>
    <x v="2"/>
  </r>
  <r>
    <n v="1"/>
    <s v="律诗"/>
    <s v="五律"/>
    <s v="相思"/>
    <x v="13"/>
    <s v="⒉"/>
    <n v="2"/>
    <x v="4"/>
    <x v="3"/>
    <s v="4 - Winter"/>
    <x v="2"/>
  </r>
  <r>
    <n v="2"/>
    <s v="律诗"/>
    <s v="五律"/>
    <s v="客思二首"/>
    <x v="13"/>
    <s v="⒉"/>
    <n v="2"/>
    <x v="4"/>
    <x v="3"/>
    <s v="4 - Winter"/>
    <x v="2"/>
  </r>
  <r>
    <n v="1"/>
    <s v="词曲"/>
    <s v="虞美人"/>
    <s v="伤春景"/>
    <x v="13"/>
    <s v="⒊"/>
    <n v="3"/>
    <x v="10"/>
    <x v="0"/>
    <s v="1 - Spring"/>
    <x v="2"/>
  </r>
  <r>
    <n v="1"/>
    <s v="律诗"/>
    <s v="五律"/>
    <s v="画帘"/>
    <x v="13"/>
    <s v="⒐"/>
    <n v="9"/>
    <x v="1"/>
    <x v="1"/>
    <s v="3 - Autumn"/>
    <x v="2"/>
  </r>
  <r>
    <n v="1"/>
    <s v="律诗"/>
    <s v="五律"/>
    <s v="春意"/>
    <x v="13"/>
    <s v="⒑"/>
    <n v="10"/>
    <x v="3"/>
    <x v="1"/>
    <s v="3 - Autumn"/>
    <x v="2"/>
  </r>
  <r>
    <n v="2"/>
    <s v="律诗"/>
    <s v="五律"/>
    <s v="秋风二首"/>
    <x v="13"/>
    <s v="⒒"/>
    <n v="11"/>
    <x v="7"/>
    <x v="1"/>
    <s v="3 - Autumn"/>
    <x v="2"/>
  </r>
  <r>
    <n v="1"/>
    <s v="词曲"/>
    <s v="虞美人"/>
    <s v="诉春情"/>
    <x v="13"/>
    <s v="⒒"/>
    <n v="11"/>
    <x v="7"/>
    <x v="1"/>
    <s v="3 - Autumn"/>
    <x v="2"/>
  </r>
  <r>
    <n v="2"/>
    <s v="词曲"/>
    <s v="臨江仙"/>
    <s v="春風＊二首"/>
    <x v="13"/>
    <s v="⒒"/>
    <n v="11"/>
    <x v="7"/>
    <x v="1"/>
    <s v="3 - Autumn"/>
    <x v="2"/>
  </r>
  <r>
    <n v="3"/>
    <s v="律诗"/>
    <s v="五律"/>
    <s v="春册集句三首"/>
    <x v="13"/>
    <s v="⒒"/>
    <n v="11"/>
    <x v="7"/>
    <x v="1"/>
    <s v="3 - Autumn"/>
    <x v="2"/>
  </r>
  <r>
    <n v="1"/>
    <s v="律诗"/>
    <s v="五律"/>
    <s v="红楼集句"/>
    <x v="13"/>
    <s v="⒒"/>
    <n v="11"/>
    <x v="7"/>
    <x v="1"/>
    <s v="3 - Autumn"/>
    <x v="2"/>
  </r>
  <r>
    <n v="2"/>
    <s v="律诗"/>
    <s v="五律"/>
    <s v="西厢二首"/>
    <x v="13"/>
    <s v="⒒"/>
    <n v="11"/>
    <x v="7"/>
    <x v="1"/>
    <s v="3 - Autumn"/>
    <x v="2"/>
  </r>
  <r>
    <n v="5"/>
    <s v="律诗"/>
    <s v="五律"/>
    <s v="孤夜五首"/>
    <x v="13"/>
    <s v="⒒"/>
    <n v="11"/>
    <x v="7"/>
    <x v="1"/>
    <s v="3 - Autumn"/>
    <x v="2"/>
  </r>
  <r>
    <n v="1"/>
    <s v="词曲"/>
    <s v="临江仙"/>
    <s v="感赋"/>
    <x v="14"/>
    <s v="⒊"/>
    <n v="3"/>
    <x v="10"/>
    <x v="0"/>
    <s v="1 - Spring"/>
    <x v="2"/>
  </r>
  <r>
    <n v="1"/>
    <s v="律诗"/>
    <s v="五律"/>
    <s v="送别"/>
    <x v="14"/>
    <s v="⒋"/>
    <n v="4"/>
    <x v="0"/>
    <x v="0"/>
    <s v="1 - Spring"/>
    <x v="2"/>
  </r>
  <r>
    <n v="1"/>
    <s v="词曲"/>
    <s v="满江红"/>
    <s v="致周琳"/>
    <x v="15"/>
    <s v="⒊"/>
    <n v="3"/>
    <x v="10"/>
    <x v="0"/>
    <s v="1 - Spring"/>
    <x v="2"/>
  </r>
  <r>
    <n v="1"/>
    <s v="词曲"/>
    <s v="水调歌头"/>
    <s v="中秋"/>
    <x v="16"/>
    <s v="⒐"/>
    <n v="9"/>
    <x v="1"/>
    <x v="1"/>
    <s v="3 - Autumn"/>
    <x v="2"/>
  </r>
  <r>
    <n v="1"/>
    <s v="词曲"/>
    <s v="金缕曲"/>
    <s v="中秋寄格格"/>
    <x v="17"/>
    <s v="⒐"/>
    <n v="9"/>
    <x v="1"/>
    <x v="1"/>
    <s v="3 - Autumn"/>
    <x v="2"/>
  </r>
  <r>
    <n v="1"/>
    <s v="词曲"/>
    <s v="金缕曲"/>
    <s v="中秋书怀"/>
    <x v="17"/>
    <s v="⒐"/>
    <n v="9"/>
    <x v="1"/>
    <x v="1"/>
    <s v="3 - Autumn"/>
    <x v="2"/>
  </r>
  <r>
    <n v="1"/>
    <s v="诗歌"/>
    <s v="新韵文诗"/>
    <s v="你和雨"/>
    <x v="18"/>
    <s v="⒊"/>
    <n v="3"/>
    <x v="10"/>
    <x v="0"/>
    <s v="1 - Spring"/>
    <x v="3"/>
  </r>
  <r>
    <n v="1"/>
    <s v="律诗"/>
    <s v="五律"/>
    <s v="今夜"/>
    <x v="19"/>
    <s v="⒋"/>
    <n v="4"/>
    <x v="0"/>
    <x v="0"/>
    <s v="1 - Spring"/>
    <x v="3"/>
  </r>
  <r>
    <n v="1"/>
    <s v="律诗"/>
    <s v="五律"/>
    <s v="夏威夷"/>
    <x v="19"/>
    <s v="⒌"/>
    <n v="5"/>
    <x v="5"/>
    <x v="0"/>
    <s v="1 - Spring"/>
    <x v="3"/>
  </r>
  <r>
    <n v="2"/>
    <s v="律诗"/>
    <s v="五律"/>
    <s v="二月登高"/>
    <x v="20"/>
    <s v="⒉"/>
    <n v="2"/>
    <x v="4"/>
    <x v="3"/>
    <s v="4 - Winter"/>
    <x v="3"/>
  </r>
  <r>
    <n v="0"/>
    <s v="文联"/>
    <s v="对联"/>
    <s v="同学盛会"/>
    <x v="20"/>
    <s v="⒉"/>
    <n v="2"/>
    <x v="4"/>
    <x v="3"/>
    <s v="4 - Winter"/>
    <x v="3"/>
  </r>
  <r>
    <n v="1"/>
    <s v="词曲"/>
    <s v="水调歌头"/>
    <s v="會東"/>
    <x v="20"/>
    <s v="⒊"/>
    <n v="3"/>
    <x v="10"/>
    <x v="0"/>
    <s v="1 - Spring"/>
    <x v="3"/>
  </r>
  <r>
    <n v="1"/>
    <s v="词曲"/>
    <s v="临江仙"/>
    <s v="再韻會東"/>
    <x v="20"/>
    <s v="⒊"/>
    <n v="3"/>
    <x v="10"/>
    <x v="0"/>
    <s v="1 - Spring"/>
    <x v="3"/>
  </r>
  <r>
    <n v="1"/>
    <s v="律诗"/>
    <s v="五律"/>
    <s v="春日午後"/>
    <x v="20"/>
    <s v="⒍"/>
    <n v="6"/>
    <x v="8"/>
    <x v="2"/>
    <s v="2 - Summer"/>
    <x v="3"/>
  </r>
  <r>
    <n v="1"/>
    <s v="古诗"/>
    <s v="七言"/>
    <s v="冬夜记梦"/>
    <x v="20"/>
    <s v="⒓"/>
    <n v="12"/>
    <x v="9"/>
    <x v="3"/>
    <s v="4 - Winter"/>
    <x v="3"/>
  </r>
  <r>
    <n v="1"/>
    <s v="律诗"/>
    <s v="五律"/>
    <s v="风雨"/>
    <x v="21"/>
    <s v="⒌"/>
    <n v="5"/>
    <x v="5"/>
    <x v="0"/>
    <s v="1 - Spring"/>
    <x v="3"/>
  </r>
  <r>
    <n v="1"/>
    <s v="古诗"/>
    <s v="七言"/>
    <s v="流言"/>
    <x v="21"/>
    <s v="⒌"/>
    <n v="5"/>
    <x v="5"/>
    <x v="0"/>
    <s v="1 - Spring"/>
    <x v="3"/>
  </r>
  <r>
    <n v="1"/>
    <s v="古诗"/>
    <s v="七言"/>
    <s v="讽言"/>
    <x v="21"/>
    <s v="⒌"/>
    <n v="5"/>
    <x v="5"/>
    <x v="0"/>
    <s v="1 - Spring"/>
    <x v="3"/>
  </r>
  <r>
    <n v="1"/>
    <s v="古诗"/>
    <s v="七言"/>
    <s v="致贺"/>
    <x v="21"/>
    <s v="⒍"/>
    <n v="6"/>
    <x v="8"/>
    <x v="2"/>
    <s v="2 - Summer"/>
    <x v="3"/>
  </r>
  <r>
    <n v="1"/>
    <s v="词曲"/>
    <s v="蝶戀花"/>
    <s v="腊雪贺辰致琳儿"/>
    <x v="22"/>
    <s v="⒈"/>
    <n v="1"/>
    <x v="6"/>
    <x v="3"/>
    <s v="4 - Winter"/>
    <x v="3"/>
  </r>
  <r>
    <n v="2"/>
    <s v="律诗"/>
    <s v="七律"/>
    <s v="中秋二首"/>
    <x v="22"/>
    <s v="⒐"/>
    <n v="9"/>
    <x v="1"/>
    <x v="1"/>
    <s v="3 - Autumn"/>
    <x v="3"/>
  </r>
  <r>
    <n v="1"/>
    <s v="律诗"/>
    <s v="七律"/>
    <s v="加勒比游记"/>
    <x v="22"/>
    <s v="⒓"/>
    <n v="12"/>
    <x v="9"/>
    <x v="3"/>
    <s v="4 - Winter"/>
    <x v="3"/>
  </r>
  <r>
    <n v="1"/>
    <s v="律诗"/>
    <s v="七律"/>
    <s v="雪花"/>
    <x v="22"/>
    <s v="⒓"/>
    <n v="12"/>
    <x v="9"/>
    <x v="3"/>
    <s v="4 - Winter"/>
    <x v="3"/>
  </r>
  <r>
    <n v="1"/>
    <s v="律诗"/>
    <s v="五律"/>
    <s v="臘九賀辰"/>
    <x v="23"/>
    <s v="⒈"/>
    <n v="1"/>
    <x v="6"/>
    <x v="3"/>
    <s v="4 - Winter"/>
    <x v="3"/>
  </r>
  <r>
    <n v="1"/>
    <s v="古诗"/>
    <s v="七言"/>
    <s v="串烧网络流行语"/>
    <x v="23"/>
    <s v="⒈"/>
    <n v="1"/>
    <x v="6"/>
    <x v="3"/>
    <s v="4 - Winter"/>
    <x v="3"/>
  </r>
  <r>
    <n v="1"/>
    <s v="古诗"/>
    <s v="七言"/>
    <s v="咏时事"/>
    <x v="23"/>
    <s v="⒈"/>
    <n v="1"/>
    <x v="6"/>
    <x v="3"/>
    <s v="4 - Winter"/>
    <x v="3"/>
  </r>
  <r>
    <n v="2"/>
    <s v="律诗"/>
    <s v="七律"/>
    <s v="己丑中秋同韻二首"/>
    <x v="23"/>
    <s v="⒐"/>
    <n v="9"/>
    <x v="1"/>
    <x v="1"/>
    <s v="3 - Autumn"/>
    <x v="3"/>
  </r>
  <r>
    <n v="1"/>
    <s v="古诗"/>
    <s v="七言"/>
    <s v="柏梁體秋韻"/>
    <x v="23"/>
    <s v="⒐"/>
    <n v="9"/>
    <x v="1"/>
    <x v="1"/>
    <s v="3 - Autumn"/>
    <x v="3"/>
  </r>
  <r>
    <n v="2"/>
    <s v="律诗"/>
    <s v="五律"/>
    <s v="冬月遠行二首"/>
    <x v="23"/>
    <s v="⒓"/>
    <n v="12"/>
    <x v="9"/>
    <x v="3"/>
    <s v="4 - Winter"/>
    <x v="3"/>
  </r>
  <r>
    <n v="1"/>
    <s v="古诗"/>
    <s v="七言"/>
    <s v="雨中思"/>
    <x v="24"/>
    <s v="⒈"/>
    <n v="1"/>
    <x v="6"/>
    <x v="3"/>
    <s v="4 - Winter"/>
    <x v="4"/>
  </r>
  <r>
    <n v="2"/>
    <s v="词曲"/>
    <s v="虞美人"/>
    <s v="想念二章（冬雲、冬雨）"/>
    <x v="24"/>
    <s v="⒈"/>
    <n v="1"/>
    <x v="6"/>
    <x v="3"/>
    <s v="4 - Winter"/>
    <x v="4"/>
  </r>
  <r>
    <n v="18"/>
    <s v="词曲"/>
    <s v="天净沙"/>
    <s v="斐济十题今韵"/>
    <x v="24"/>
    <s v="⒉"/>
    <n v="2"/>
    <x v="4"/>
    <x v="3"/>
    <s v="4 - Winter"/>
    <x v="4"/>
  </r>
  <r>
    <n v="2"/>
    <s v="词曲"/>
    <s v="望海潮"/>
    <s v="斐济珊瑚海岸"/>
    <x v="24"/>
    <s v="⒉"/>
    <n v="2"/>
    <x v="4"/>
    <x v="3"/>
    <s v="4 - Winter"/>
    <x v="4"/>
  </r>
  <r>
    <n v="1"/>
    <s v="诗歌"/>
    <s v="英文诗"/>
    <s v="告别斐济"/>
    <x v="24"/>
    <s v="⒉"/>
    <n v="2"/>
    <x v="4"/>
    <x v="3"/>
    <s v="4 - Winter"/>
    <x v="4"/>
  </r>
  <r>
    <n v="2"/>
    <s v="词曲"/>
    <s v="山坡羊"/>
    <s v="西北偏北国家公园二首"/>
    <x v="24"/>
    <s v="⒏"/>
    <n v="8"/>
    <x v="2"/>
    <x v="2"/>
    <s v="2 - Summer"/>
    <x v="4"/>
  </r>
  <r>
    <n v="2"/>
    <s v="词曲"/>
    <s v="水调歌头"/>
    <s v="中秋"/>
    <x v="24"/>
    <s v="⒐"/>
    <n v="9"/>
    <x v="1"/>
    <x v="1"/>
    <s v="3 - Autumn"/>
    <x v="4"/>
  </r>
  <r>
    <n v="1"/>
    <s v="诗歌"/>
    <s v="英文诗"/>
    <s v="秋色雷德蒙"/>
    <x v="24"/>
    <s v="⒑"/>
    <n v="10"/>
    <x v="3"/>
    <x v="1"/>
    <s v="3 - Autumn"/>
    <x v="4"/>
  </r>
  <r>
    <n v="1"/>
    <s v="古诗"/>
    <s v="七言"/>
    <s v="梦中梦"/>
    <x v="24"/>
    <s v="⒑"/>
    <n v="10"/>
    <x v="3"/>
    <x v="1"/>
    <s v="3 - Autumn"/>
    <x v="4"/>
  </r>
  <r>
    <n v="2"/>
    <s v="律诗"/>
    <s v="七律"/>
    <s v="寒雨二首"/>
    <x v="25"/>
    <s v="⒈"/>
    <n v="1"/>
    <x v="6"/>
    <x v="3"/>
    <s v="4 - Winter"/>
    <x v="4"/>
  </r>
  <r>
    <n v="1"/>
    <s v="词曲"/>
    <s v="沁園春"/>
    <s v="重懷周公和毛詞原韻"/>
    <x v="25"/>
    <s v="⒈"/>
    <n v="1"/>
    <x v="6"/>
    <x v="3"/>
    <s v="4 - Winter"/>
    <x v="4"/>
  </r>
  <r>
    <n v="1"/>
    <s v="诗歌"/>
    <s v="新韵文诗"/>
    <s v="晨跑"/>
    <x v="25"/>
    <s v="⒈"/>
    <n v="1"/>
    <x v="6"/>
    <x v="3"/>
    <s v="4 - Winter"/>
    <x v="4"/>
  </r>
  <r>
    <n v="1"/>
    <s v="诗歌"/>
    <s v="英文诗"/>
    <s v="新年伊始"/>
    <x v="25"/>
    <s v="⒉"/>
    <n v="2"/>
    <x v="4"/>
    <x v="3"/>
    <s v="4 - Winter"/>
    <x v="4"/>
  </r>
  <r>
    <n v="1"/>
    <s v="律诗"/>
    <s v="五律"/>
    <s v="夜寻"/>
    <x v="25"/>
    <s v="⒉"/>
    <n v="2"/>
    <x v="4"/>
    <x v="3"/>
    <s v="4 - Winter"/>
    <x v="4"/>
  </r>
  <r>
    <n v="1"/>
    <s v="律诗"/>
    <s v="七律"/>
    <s v="反思（普韻）"/>
    <x v="25"/>
    <s v="⒉"/>
    <n v="2"/>
    <x v="4"/>
    <x v="3"/>
    <s v="4 - Winter"/>
    <x v="4"/>
  </r>
  <r>
    <n v="1"/>
    <s v="律诗"/>
    <s v="七律"/>
    <s v="題四川豆花莊"/>
    <x v="25"/>
    <s v="⒉"/>
    <n v="2"/>
    <x v="4"/>
    <x v="3"/>
    <s v="4 - Winter"/>
    <x v="4"/>
  </r>
  <r>
    <n v="1"/>
    <s v="古诗"/>
    <s v="五言"/>
    <s v="梦醒"/>
    <x v="25"/>
    <s v="⒍"/>
    <n v="6"/>
    <x v="8"/>
    <x v="2"/>
    <s v="2 - Summer"/>
    <x v="4"/>
  </r>
  <r>
    <n v="1"/>
    <s v="词曲"/>
    <s v="行香子"/>
    <s v="中秋"/>
    <x v="25"/>
    <s v="⒐"/>
    <n v="9"/>
    <x v="1"/>
    <x v="1"/>
    <s v="3 - Autumn"/>
    <x v="4"/>
  </r>
  <r>
    <n v="5"/>
    <s v="词曲"/>
    <s v="行香子"/>
    <s v="加州行五首"/>
    <x v="25"/>
    <s v="⒐"/>
    <n v="9"/>
    <x v="1"/>
    <x v="1"/>
    <s v="3 - Autumn"/>
    <x v="4"/>
  </r>
  <r>
    <n v="1"/>
    <s v="词曲"/>
    <s v="行香子"/>
    <s v="蘇克杉山"/>
    <x v="25"/>
    <s v="⒑"/>
    <n v="10"/>
    <x v="3"/>
    <x v="1"/>
    <s v="3 - Autumn"/>
    <x v="4"/>
  </r>
  <r>
    <n v="3"/>
    <s v="律诗"/>
    <s v="七律"/>
    <s v="看山三首"/>
    <x v="26"/>
    <s v="⒍"/>
    <n v="6"/>
    <x v="8"/>
    <x v="2"/>
    <s v="2 - Summer"/>
    <x v="4"/>
  </r>
  <r>
    <n v="4"/>
    <s v="律诗"/>
    <s v="七律"/>
    <s v="秋興四首"/>
    <x v="26"/>
    <s v="⒑"/>
    <n v="10"/>
    <x v="3"/>
    <x v="1"/>
    <s v="3 - Autumn"/>
    <x v="4"/>
  </r>
  <r>
    <n v="1"/>
    <s v="律诗"/>
    <s v="七律"/>
    <s v="病中"/>
    <x v="27"/>
    <s v="⒒"/>
    <n v="11"/>
    <x v="7"/>
    <x v="1"/>
    <s v="3 - Autumn"/>
    <x v="4"/>
  </r>
  <r>
    <n v="1"/>
    <s v="词曲"/>
    <s v="行香子"/>
    <s v="火燒天宮（附英文版）"/>
    <x v="28"/>
    <s v="⒉"/>
    <n v="2"/>
    <x v="4"/>
    <x v="3"/>
    <s v="4 - Winter"/>
    <x v="4"/>
  </r>
  <r>
    <n v="1"/>
    <s v="词曲"/>
    <s v="雙調憶江南"/>
    <s v="午後春光"/>
    <x v="28"/>
    <s v="⒊"/>
    <n v="3"/>
    <x v="10"/>
    <x v="0"/>
    <s v="1 - Spring"/>
    <x v="4"/>
  </r>
  <r>
    <n v="1"/>
    <s v="词曲"/>
    <s v="行香子"/>
    <s v="春分"/>
    <x v="28"/>
    <s v="⒊"/>
    <n v="3"/>
    <x v="10"/>
    <x v="0"/>
    <s v="1 - Spring"/>
    <x v="4"/>
  </r>
  <r>
    <n v="1"/>
    <s v="词曲"/>
    <s v="賀新涼"/>
    <s v="小別"/>
    <x v="28"/>
    <s v="⒊"/>
    <n v="3"/>
    <x v="10"/>
    <x v="0"/>
    <s v="1 - Spring"/>
    <x v="4"/>
  </r>
  <r>
    <n v="1"/>
    <s v="词曲"/>
    <s v="賀新涼"/>
    <s v="看雲"/>
    <x v="28"/>
    <s v="⒊"/>
    <n v="3"/>
    <x v="10"/>
    <x v="0"/>
    <s v="1 - Spring"/>
    <x v="4"/>
  </r>
  <r>
    <n v="1"/>
    <s v="词曲"/>
    <s v="临江仙"/>
    <s v="春雨"/>
    <x v="28"/>
    <s v="⒊"/>
    <n v="3"/>
    <x v="10"/>
    <x v="0"/>
    <s v="1 - Spring"/>
    <x v="4"/>
  </r>
  <r>
    <n v="1"/>
    <s v="词曲"/>
    <s v="水调歌头"/>
    <s v="雅安"/>
    <x v="28"/>
    <s v="⒋"/>
    <n v="4"/>
    <x v="0"/>
    <x v="0"/>
    <s v="1 - Spring"/>
    <x v="4"/>
  </r>
  <r>
    <n v="1"/>
    <s v="律诗"/>
    <s v="五律"/>
    <s v="初夏西雅圖"/>
    <x v="28"/>
    <s v="⒍"/>
    <n v="6"/>
    <x v="8"/>
    <x v="2"/>
    <s v="2 - Summer"/>
    <x v="4"/>
  </r>
  <r>
    <n v="1"/>
    <s v="词曲"/>
    <s v="行香子"/>
    <s v="夏入雪峰"/>
    <x v="28"/>
    <s v="⒎"/>
    <n v="7"/>
    <x v="11"/>
    <x v="2"/>
    <s v="2 - Summer"/>
    <x v="4"/>
  </r>
  <r>
    <n v="1"/>
    <s v="词曲"/>
    <s v="行香子"/>
    <s v="朝霞"/>
    <x v="28"/>
    <s v="⒐"/>
    <n v="9"/>
    <x v="1"/>
    <x v="1"/>
    <s v="3 - Autumn"/>
    <x v="4"/>
  </r>
  <r>
    <n v="2"/>
    <s v="词曲"/>
    <s v="天净沙"/>
    <s v="秋（二首）"/>
    <x v="28"/>
    <s v="⒒"/>
    <n v="11"/>
    <x v="7"/>
    <x v="1"/>
    <s v="3 - Autumn"/>
    <x v="4"/>
  </r>
  <r>
    <n v="1"/>
    <s v="律诗"/>
    <s v="七律"/>
    <s v="冬晴"/>
    <x v="29"/>
    <s v="⒈"/>
    <n v="1"/>
    <x v="6"/>
    <x v="3"/>
    <s v="4 - Winter"/>
    <x v="4"/>
  </r>
  <r>
    <n v="1"/>
    <s v="词曲"/>
    <s v="高陽臺"/>
    <s v="写在情人节"/>
    <x v="29"/>
    <s v="⒉"/>
    <n v="2"/>
    <x v="4"/>
    <x v="3"/>
    <s v="4 - Winter"/>
    <x v="4"/>
  </r>
  <r>
    <n v="1"/>
    <s v="古诗"/>
    <s v="五言"/>
    <s v="佛州劳德戴尔机场"/>
    <x v="29"/>
    <s v="⒊"/>
    <n v="3"/>
    <x v="10"/>
    <x v="0"/>
    <s v="1 - Spring"/>
    <x v="4"/>
  </r>
  <r>
    <n v="1"/>
    <s v="律诗"/>
    <s v="五律"/>
    <s v="湖山漫步寄相思"/>
    <x v="30"/>
    <s v="⒊"/>
    <n v="3"/>
    <x v="10"/>
    <x v="0"/>
    <s v="1 - Spring"/>
    <x v="4"/>
  </r>
  <r>
    <n v="1"/>
    <s v="古诗"/>
    <s v="五言"/>
    <s v="早春病中拟句"/>
    <x v="30"/>
    <s v="⒋"/>
    <n v="4"/>
    <x v="0"/>
    <x v="0"/>
    <s v="1 - Spring"/>
    <x v="4"/>
  </r>
  <r>
    <n v="1"/>
    <s v="古诗"/>
    <s v="五言"/>
    <s v="西安謠"/>
    <x v="30"/>
    <s v="⒌"/>
    <n v="5"/>
    <x v="5"/>
    <x v="0"/>
    <s v="1 - Spring"/>
    <x v="4"/>
  </r>
  <r>
    <n v="1"/>
    <s v="词曲"/>
    <s v="行香子"/>
    <s v="京城會"/>
    <x v="30"/>
    <s v="⒌"/>
    <n v="5"/>
    <x v="5"/>
    <x v="0"/>
    <s v="1 - Spring"/>
    <x v="4"/>
  </r>
  <r>
    <n v="1"/>
    <s v="词曲"/>
    <s v="水调歌头"/>
    <s v="皖南行"/>
    <x v="30"/>
    <s v="⒌"/>
    <n v="5"/>
    <x v="5"/>
    <x v="0"/>
    <s v="1 - Spring"/>
    <x v="4"/>
  </r>
  <r>
    <n v="1"/>
    <s v="律诗"/>
    <s v="五律"/>
    <s v="俄勒冈海滩"/>
    <x v="31"/>
    <s v="⒐"/>
    <n v="9"/>
    <x v="1"/>
    <x v="1"/>
    <s v="3 - Autumn"/>
    <x v="4"/>
  </r>
  <r>
    <n v="1"/>
    <s v="律诗"/>
    <s v="五律"/>
    <s v="週年紀念"/>
    <x v="31"/>
    <s v="⒐"/>
    <n v="9"/>
    <x v="1"/>
    <x v="1"/>
    <s v="3 - Autumn"/>
    <x v="4"/>
  </r>
  <r>
    <n v="1"/>
    <s v="诗歌"/>
    <s v="新韵文诗"/>
    <s v="春天"/>
    <x v="31"/>
    <s v="⒑"/>
    <n v="10"/>
    <x v="3"/>
    <x v="1"/>
    <s v="3 - Autumn"/>
    <x v="4"/>
  </r>
  <r>
    <n v="1"/>
    <s v="律诗"/>
    <s v="七律"/>
    <s v="夏威夷可愛島"/>
    <x v="31"/>
    <s v="⒒"/>
    <n v="11"/>
    <x v="7"/>
    <x v="1"/>
    <s v="3 - Autumn"/>
    <x v="4"/>
  </r>
  <r>
    <n v="1"/>
    <s v="词曲"/>
    <s v="临江仙"/>
    <s v="重聚"/>
    <x v="32"/>
    <s v="⒍"/>
    <n v="6"/>
    <x v="8"/>
    <x v="2"/>
    <s v="2 - Summer"/>
    <x v="4"/>
  </r>
  <r>
    <n v="2"/>
    <s v="词曲"/>
    <s v="望海潮"/>
    <s v="新西蘭"/>
    <x v="33"/>
    <s v="⒓"/>
    <n v="12"/>
    <x v="9"/>
    <x v="3"/>
    <s v="4 - Winter"/>
    <x v="4"/>
  </r>
  <r>
    <n v="1"/>
    <s v="词曲"/>
    <s v="临江仙"/>
    <s v="新西蘭萬納卡"/>
    <x v="33"/>
    <s v="⒓"/>
    <n v="12"/>
    <x v="9"/>
    <x v="3"/>
    <s v="4 - Winter"/>
    <x v="4"/>
  </r>
  <r>
    <n v="1"/>
    <s v="词曲"/>
    <s v="行香子"/>
    <s v="新西蘭懷奧塔普"/>
    <x v="33"/>
    <s v="⒓"/>
    <n v="12"/>
    <x v="9"/>
    <x v="3"/>
    <s v="4 - Winter"/>
    <x v="4"/>
  </r>
  <r>
    <n v="1"/>
    <s v="律诗"/>
    <s v="七律"/>
    <s v="新西蘭南島綠色"/>
    <x v="33"/>
    <s v="⒓"/>
    <n v="12"/>
    <x v="9"/>
    <x v="3"/>
    <s v="4 - Winter"/>
    <x v="4"/>
  </r>
  <r>
    <n v="2"/>
    <s v="律诗"/>
    <s v="七律"/>
    <s v="空留"/>
    <x v="34"/>
    <s v="⒏"/>
    <n v="8"/>
    <x v="2"/>
    <x v="2"/>
    <s v="2 - Summer"/>
    <x v="5"/>
  </r>
  <r>
    <n v="1"/>
    <s v="律诗"/>
    <s v="七律"/>
    <s v="赠周琳"/>
    <x v="34"/>
    <s v="⒒"/>
    <n v="11"/>
    <x v="7"/>
    <x v="1"/>
    <s v="3 - Autumn"/>
    <x v="5"/>
  </r>
  <r>
    <n v="2"/>
    <s v="律诗"/>
    <s v="七律"/>
    <s v="残秋"/>
    <x v="34"/>
    <s v="⒒"/>
    <n v="11"/>
    <x v="7"/>
    <x v="1"/>
    <s v="3 - Autumn"/>
    <x v="5"/>
  </r>
  <r>
    <n v="1"/>
    <s v="古诗"/>
    <s v="七言"/>
    <s v="记梦之纪念疫情"/>
    <x v="34"/>
    <s v="⒓"/>
    <n v="12"/>
    <x v="9"/>
    <x v="3"/>
    <s v="4 - Winter"/>
    <x v="5"/>
  </r>
  <r>
    <n v="9"/>
    <s v="词曲"/>
    <s v="南乡子"/>
    <s v="宇宙往事"/>
    <x v="34"/>
    <s v="⒓"/>
    <n v="12"/>
    <x v="9"/>
    <x v="3"/>
    <s v="4 - Winter"/>
    <x v="5"/>
  </r>
  <r>
    <n v="1"/>
    <s v="词曲"/>
    <s v="菩萨蛮"/>
    <s v="嫦娥五号奔月归来"/>
    <x v="34"/>
    <s v="⒓"/>
    <n v="12"/>
    <x v="9"/>
    <x v="3"/>
    <s v="4 - Winter"/>
    <x v="5"/>
  </r>
  <r>
    <n v="2"/>
    <s v="词曲"/>
    <s v="水调歌头"/>
    <s v="嫦娥五号"/>
    <x v="34"/>
    <s v="⒓"/>
    <n v="12"/>
    <x v="9"/>
    <x v="3"/>
    <s v="4 - Winter"/>
    <x v="5"/>
  </r>
  <r>
    <n v="1"/>
    <s v="词曲"/>
    <s v="行香子"/>
    <s v="赠周琳"/>
    <x v="34"/>
    <s v="⒓"/>
    <n v="12"/>
    <x v="9"/>
    <x v="3"/>
    <s v="4 - Winter"/>
    <x v="5"/>
  </r>
  <r>
    <n v="1"/>
    <s v="古诗"/>
    <s v="七言"/>
    <s v="论无题绝句"/>
    <x v="35"/>
    <s v="⒈"/>
    <n v="1"/>
    <x v="6"/>
    <x v="3"/>
    <s v="4 - Winter"/>
    <x v="5"/>
  </r>
  <r>
    <n v="3"/>
    <s v="古诗"/>
    <s v="七言"/>
    <s v="新韵杂篇"/>
    <x v="35"/>
    <s v="⒈"/>
    <n v="1"/>
    <x v="6"/>
    <x v="3"/>
    <s v="4 - Winter"/>
    <x v="5"/>
  </r>
  <r>
    <n v="2"/>
    <s v="词曲"/>
    <s v="水调歌头"/>
    <s v="新年感赋"/>
    <x v="35"/>
    <s v="⒈"/>
    <n v="1"/>
    <x v="6"/>
    <x v="3"/>
    <s v="4 - Winter"/>
    <x v="5"/>
  </r>
  <r>
    <n v="1"/>
    <s v="词曲"/>
    <s v="水调歌头"/>
    <s v="祭一月八"/>
    <x v="35"/>
    <s v="⒈"/>
    <n v="1"/>
    <x v="6"/>
    <x v="3"/>
    <s v="4 - Winter"/>
    <x v="5"/>
  </r>
  <r>
    <n v="1"/>
    <s v="古诗"/>
    <s v="五言"/>
    <s v="明宫谋"/>
    <x v="35"/>
    <s v="⒉"/>
    <n v="2"/>
    <x v="4"/>
    <x v="3"/>
    <s v="4 - Winter"/>
    <x v="5"/>
  </r>
  <r>
    <n v="1"/>
    <s v="词曲"/>
    <s v="水调歌头"/>
    <s v="南迁步苏词韵"/>
    <x v="35"/>
    <s v="⒊"/>
    <n v="3"/>
    <x v="10"/>
    <x v="0"/>
    <s v="1 - Spring"/>
    <x v="5"/>
  </r>
  <r>
    <n v="1"/>
    <s v="词曲"/>
    <s v="虞美人"/>
    <s v="樱花"/>
    <x v="35"/>
    <s v="⒊"/>
    <n v="3"/>
    <x v="10"/>
    <x v="0"/>
    <s v="1 - Spring"/>
    <x v="5"/>
  </r>
  <r>
    <n v="1"/>
    <s v="诗歌"/>
    <s v="英文诗"/>
    <s v="清平乐"/>
    <x v="35"/>
    <s v="⒋"/>
    <n v="4"/>
    <x v="0"/>
    <x v="0"/>
    <s v="1 - Spring"/>
    <x v="5"/>
  </r>
  <r>
    <n v="1"/>
    <s v="诗歌"/>
    <s v="英文诗"/>
    <s v="萨瓦纳"/>
    <x v="35"/>
    <s v="⒍"/>
    <n v="6"/>
    <x v="8"/>
    <x v="2"/>
    <s v="2 - Summer"/>
    <x v="5"/>
  </r>
  <r>
    <n v="3"/>
    <s v="律诗"/>
    <s v="七律"/>
    <s v="夏梦三首"/>
    <x v="35"/>
    <s v="⒎"/>
    <n v="7"/>
    <x v="11"/>
    <x v="2"/>
    <s v="2 - Summer"/>
    <x v="5"/>
  </r>
  <r>
    <n v="4"/>
    <s v="律诗"/>
    <s v="七律"/>
    <s v="空度四首"/>
    <x v="35"/>
    <s v="⒏"/>
    <n v="8"/>
    <x v="2"/>
    <x v="2"/>
    <s v="2 - Summer"/>
    <x v="5"/>
  </r>
  <r>
    <n v="1"/>
    <s v="词曲"/>
    <s v="水调歌头"/>
    <s v="周琳"/>
    <x v="35"/>
    <s v="⒏"/>
    <n v="8"/>
    <x v="2"/>
    <x v="2"/>
    <s v="2 - Summer"/>
    <x v="5"/>
  </r>
  <r>
    <n v="1"/>
    <s v="词曲"/>
    <s v="水调歌头"/>
    <s v="纸上兵"/>
    <x v="35"/>
    <s v="⒐"/>
    <n v="9"/>
    <x v="1"/>
    <x v="1"/>
    <s v="3 - Autumn"/>
    <x v="5"/>
  </r>
  <r>
    <n v="1"/>
    <s v="古诗"/>
    <s v="七言"/>
    <s v="读兵法【新韵】"/>
    <x v="35"/>
    <s v="⒐"/>
    <n v="9"/>
    <x v="1"/>
    <x v="1"/>
    <s v="3 - Autumn"/>
    <x v="5"/>
  </r>
  <r>
    <n v="1"/>
    <s v="古诗"/>
    <s v="七言"/>
    <s v="读老子【杂韵】"/>
    <x v="35"/>
    <s v="⒐"/>
    <n v="9"/>
    <x v="1"/>
    <x v="1"/>
    <s v="3 - Autumn"/>
    <x v="5"/>
  </r>
  <r>
    <n v="9"/>
    <s v="律诗"/>
    <s v="七律"/>
    <s v="读《将夜》集句"/>
    <x v="35"/>
    <s v="⒐"/>
    <n v="9"/>
    <x v="1"/>
    <x v="1"/>
    <s v="3 - Autumn"/>
    <x v="5"/>
  </r>
  <r>
    <n v="6"/>
    <s v="律诗"/>
    <s v="七律"/>
    <s v="读书札记"/>
    <x v="35"/>
    <s v="⒐"/>
    <n v="9"/>
    <x v="1"/>
    <x v="1"/>
    <s v="3 - Autumn"/>
    <x v="5"/>
  </r>
  <r>
    <n v="1"/>
    <s v="词曲"/>
    <s v="水调歌头"/>
    <s v="中秋"/>
    <x v="35"/>
    <s v="⒐"/>
    <n v="9"/>
    <x v="1"/>
    <x v="1"/>
    <s v="3 - Autumn"/>
    <x v="5"/>
  </r>
  <r>
    <n v="1"/>
    <s v="词曲"/>
    <s v="水调歌头"/>
    <s v="归来"/>
    <x v="35"/>
    <s v="⒐"/>
    <n v="9"/>
    <x v="1"/>
    <x v="1"/>
    <s v="3 - Autumn"/>
    <x v="5"/>
  </r>
  <r>
    <n v="1"/>
    <s v="律诗"/>
    <s v="五律"/>
    <s v="深圳街中"/>
    <x v="35"/>
    <s v="⒑"/>
    <n v="10"/>
    <x v="3"/>
    <x v="1"/>
    <s v="3 - Autumn"/>
    <x v="5"/>
  </r>
  <r>
    <n v="2"/>
    <s v="律诗"/>
    <s v="七律"/>
    <s v="秋景"/>
    <x v="35"/>
    <s v="⒒"/>
    <n v="11"/>
    <x v="7"/>
    <x v="1"/>
    <s v="3 - Autumn"/>
    <x v="5"/>
  </r>
  <r>
    <n v="1"/>
    <s v="律诗"/>
    <s v="五律"/>
    <s v="读《重生之药香》"/>
    <x v="36"/>
    <s v="⒋"/>
    <n v="4"/>
    <x v="0"/>
    <x v="0"/>
    <s v="1 - Spring"/>
    <x v="5"/>
  </r>
  <r>
    <n v="1"/>
    <s v="词曲"/>
    <s v="行香子"/>
    <s v="寄思"/>
    <x v="36"/>
    <s v="⒌"/>
    <n v="5"/>
    <x v="5"/>
    <x v="0"/>
    <s v="1 - Spring"/>
    <x v="5"/>
  </r>
  <r>
    <n v="1"/>
    <s v="古诗"/>
    <s v="七言"/>
    <s v="读《孺子帝》"/>
    <x v="36"/>
    <s v="⒎"/>
    <n v="7"/>
    <x v="11"/>
    <x v="2"/>
    <s v="2 - Summer"/>
    <x v="5"/>
  </r>
  <r>
    <n v="1"/>
    <s v="词曲"/>
    <s v="念奴娇"/>
    <s v="用东坡调"/>
    <x v="36"/>
    <s v="⒐"/>
    <n v="9"/>
    <x v="1"/>
    <x v="1"/>
    <s v="3 - Autumn"/>
    <x v="5"/>
  </r>
  <r>
    <n v="1"/>
    <s v="词曲"/>
    <s v="满江红"/>
    <s v="周年赋"/>
    <x v="36"/>
    <s v="⒐"/>
    <n v="9"/>
    <x v="1"/>
    <x v="1"/>
    <s v="3 - Autumn"/>
    <x v="5"/>
  </r>
  <r>
    <n v="1"/>
    <s v="词曲"/>
    <s v="临江仙"/>
    <s v="重聚"/>
    <x v="36"/>
    <s v="⒑"/>
    <n v="10"/>
    <x v="3"/>
    <x v="1"/>
    <s v="3 - Autumn"/>
    <x v="5"/>
  </r>
  <r>
    <n v="1"/>
    <s v="律诗"/>
    <s v="七律"/>
    <s v="秋野"/>
    <x v="36"/>
    <s v="⒑"/>
    <n v="10"/>
    <x v="3"/>
    <x v="1"/>
    <s v="3 - Autumn"/>
    <x v="5"/>
  </r>
  <r>
    <n v="1"/>
    <s v="律诗"/>
    <s v="七律"/>
    <s v="望夜"/>
    <x v="36"/>
    <s v="⒒"/>
    <n v="11"/>
    <x v="7"/>
    <x v="1"/>
    <s v="3 - Autumn"/>
    <x v="5"/>
  </r>
  <r>
    <n v="1"/>
    <s v="古诗"/>
    <s v="七言"/>
    <s v="夜雨借佚名诗句"/>
    <x v="36"/>
    <s v="⒒"/>
    <n v="11"/>
    <x v="7"/>
    <x v="1"/>
    <s v="3 - Autumn"/>
    <x v="5"/>
  </r>
  <r>
    <n v="2"/>
    <s v="律诗"/>
    <s v="七律"/>
    <s v="读《簪中录》笔记"/>
    <x v="37"/>
    <s v="⒈"/>
    <n v="1"/>
    <x v="6"/>
    <x v="3"/>
    <s v="4 - Winter"/>
    <x v="5"/>
  </r>
  <r>
    <n v="2"/>
    <s v="律诗"/>
    <s v="七律"/>
    <s v="读《三体》"/>
    <x v="37"/>
    <s v="⒉"/>
    <n v="2"/>
    <x v="4"/>
    <x v="3"/>
    <s v="4 - Winter"/>
    <x v="5"/>
  </r>
  <r>
    <n v="2"/>
    <s v="律诗"/>
    <s v="七律"/>
    <s v="读《百妖谱》"/>
    <x v="37"/>
    <s v="⒊"/>
    <n v="3"/>
    <x v="10"/>
    <x v="0"/>
    <s v="1 - Spring"/>
    <x v="5"/>
  </r>
  <r>
    <n v="1"/>
    <s v="词曲"/>
    <s v="水调歌头"/>
    <s v="读史"/>
    <x v="37"/>
    <s v="⒊"/>
    <n v="3"/>
    <x v="10"/>
    <x v="0"/>
    <s v="1 - Spring"/>
    <x v="5"/>
  </r>
  <r>
    <n v="1"/>
    <s v="词曲"/>
    <s v="念奴娇"/>
    <s v="修真"/>
    <x v="37"/>
    <s v="⒊"/>
    <n v="3"/>
    <x v="10"/>
    <x v="0"/>
    <s v="1 - Spring"/>
    <x v="5"/>
  </r>
  <r>
    <n v="4"/>
    <s v="律诗"/>
    <s v="七律"/>
    <s v="杂感"/>
    <x v="37"/>
    <s v="⒊"/>
    <n v="3"/>
    <x v="10"/>
    <x v="0"/>
    <s v="1 - Spring"/>
    <x v="5"/>
  </r>
  <r>
    <n v="1"/>
    <s v="律诗"/>
    <s v="五律"/>
    <s v="雲窗"/>
    <x v="37"/>
    <s v="⒊"/>
    <n v="3"/>
    <x v="10"/>
    <x v="0"/>
    <s v="1 - Spring"/>
    <x v="5"/>
  </r>
  <r>
    <n v="1"/>
    <s v="古诗"/>
    <s v="七言"/>
    <s v="书评之当代言情小说"/>
    <x v="37"/>
    <s v="⒊"/>
    <n v="3"/>
    <x v="0"/>
    <x v="0"/>
    <m/>
    <x v="5"/>
  </r>
  <r>
    <n v="1"/>
    <s v="词曲"/>
    <s v="满江红"/>
    <s v="上海外滩"/>
    <x v="37"/>
    <s v="⒍"/>
    <n v="6"/>
    <x v="8"/>
    <x v="2"/>
    <s v="2 - Summer"/>
    <x v="5"/>
  </r>
  <r>
    <n v="1"/>
    <s v="律诗"/>
    <s v="七律"/>
    <s v="福州午後鼓楼东街迹行湖滨路"/>
    <x v="37"/>
    <s v="⒍"/>
    <n v="6"/>
    <x v="8"/>
    <x v="2"/>
    <s v="2 - Summer"/>
    <x v="5"/>
  </r>
  <r>
    <n v="1"/>
    <s v="词曲"/>
    <s v="水调歌头"/>
    <s v="福州行"/>
    <x v="37"/>
    <s v="⒍"/>
    <n v="6"/>
    <x v="8"/>
    <x v="2"/>
    <s v="2 - Summer"/>
    <x v="5"/>
  </r>
  <r>
    <n v="1"/>
    <s v="律诗"/>
    <s v="五律"/>
    <s v="逆旅杂想"/>
    <x v="37"/>
    <s v="⒎"/>
    <n v="7"/>
    <x v="11"/>
    <x v="2"/>
    <s v="2 - Summer"/>
    <x v="5"/>
  </r>
  <r>
    <n v="1"/>
    <s v="律诗"/>
    <s v="七律"/>
    <s v="雲机飞行签"/>
    <x v="37"/>
    <s v="⒎"/>
    <n v="7"/>
    <x v="11"/>
    <x v="2"/>
    <s v="2 - Summer"/>
    <x v="5"/>
  </r>
  <r>
    <n v="1"/>
    <s v="律诗"/>
    <s v="七律"/>
    <s v="夏日病中对湖山"/>
    <x v="37"/>
    <s v="⒏"/>
    <n v="8"/>
    <x v="2"/>
    <x v="2"/>
    <s v="2 - Summer"/>
    <x v="5"/>
  </r>
  <r>
    <n v="3"/>
    <s v="律诗"/>
    <s v="七律"/>
    <s v="读如水意《战争》三部曲"/>
    <x v="37"/>
    <s v="⒑"/>
    <n v="10"/>
    <x v="3"/>
    <x v="1"/>
    <s v="3 - Autumn"/>
    <x v="5"/>
  </r>
  <r>
    <n v="1"/>
    <s v="律诗"/>
    <s v="七律"/>
    <s v="读如水意《火力法则》"/>
    <x v="37"/>
    <s v="⒓"/>
    <n v="12"/>
    <x v="9"/>
    <x v="3"/>
    <s v="4 - Winter"/>
    <x v="5"/>
  </r>
  <r>
    <n v="1"/>
    <s v="古诗"/>
    <s v="七言"/>
    <s v="菜根谭集句"/>
    <x v="37"/>
    <s v="⒓"/>
    <n v="12"/>
    <x v="9"/>
    <x v="3"/>
    <s v="4 - Winter"/>
    <x v="5"/>
  </r>
  <r>
    <n v="1"/>
    <s v="词曲"/>
    <s v="天净沙"/>
    <s v="旧城"/>
    <x v="38"/>
    <s v="⒈"/>
    <n v="1"/>
    <x v="6"/>
    <x v="3"/>
    <s v="4 - Winter"/>
    <x v="5"/>
  </r>
  <r>
    <n v="1"/>
    <s v="律诗"/>
    <s v="七律"/>
    <s v="飞简（寄周琳）"/>
    <x v="38"/>
    <s v="⒉"/>
    <n v="2"/>
    <x v="4"/>
    <x v="3"/>
    <s v="4 - Winter"/>
    <x v="5"/>
  </r>
  <r>
    <n v="2"/>
    <s v="律诗"/>
    <s v="七律"/>
    <s v="时间相对论"/>
    <x v="38"/>
    <s v="⒊"/>
    <n v="3"/>
    <x v="10"/>
    <x v="0"/>
    <s v="1 - Spring"/>
    <x v="5"/>
  </r>
  <r>
    <n v="5"/>
    <s v="律诗"/>
    <s v="五律"/>
    <s v="杂韵五篇"/>
    <x v="38"/>
    <s v="⒊"/>
    <n v="3"/>
    <x v="10"/>
    <x v="0"/>
    <s v="1 - Spring"/>
    <x v="5"/>
  </r>
  <r>
    <n v="1"/>
    <s v="律诗"/>
    <s v="七律"/>
    <s v="读书摘句"/>
    <x v="38"/>
    <s v="⒎"/>
    <n v="7"/>
    <x v="11"/>
    <x v="2"/>
    <s v="2 - Summer"/>
    <x v="5"/>
  </r>
  <r>
    <n v="3"/>
    <s v="词曲"/>
    <s v="行香子"/>
    <s v="德国游"/>
    <x v="38"/>
    <s v="⒐"/>
    <n v="9"/>
    <x v="1"/>
    <x v="1"/>
    <s v="3 - Autumn"/>
    <x v="5"/>
  </r>
  <r>
    <n v="1"/>
    <s v="律诗"/>
    <s v="五律"/>
    <s v="雲机"/>
    <x v="38"/>
    <s v="⒑"/>
    <n v="10"/>
    <x v="3"/>
    <x v="1"/>
    <s v="3 - Autumn"/>
    <x v="5"/>
  </r>
  <r>
    <n v="2"/>
    <s v="律诗"/>
    <s v="七律"/>
    <s v="写意二首"/>
    <x v="39"/>
    <s v="⒉"/>
    <n v="2"/>
    <x v="4"/>
    <x v="3"/>
    <s v="4 - Winter"/>
    <x v="5"/>
  </r>
  <r>
    <n v="1"/>
    <s v="律诗"/>
    <s v="七律"/>
    <s v="新韵骊歌改自李宗盛词"/>
    <x v="39"/>
    <s v="⒉"/>
    <n v="2"/>
    <x v="4"/>
    <x v="3"/>
    <s v="4 - Winter"/>
    <x v="5"/>
  </r>
  <r>
    <n v="9"/>
    <s v="律诗"/>
    <s v="七律"/>
    <s v="新韵杂题＋电脑集句"/>
    <x v="39"/>
    <s v="⒉"/>
    <n v="2"/>
    <x v="4"/>
    <x v="3"/>
    <s v="4 - Winter"/>
    <x v="5"/>
  </r>
  <r>
    <n v="1"/>
    <s v="词曲"/>
    <s v="水调歌头"/>
    <s v="道法鸿蒙"/>
    <x v="39"/>
    <s v="⒉"/>
    <n v="2"/>
    <x v="4"/>
    <x v="3"/>
    <s v="4 - Winter"/>
    <x v="5"/>
  </r>
  <r>
    <n v="1"/>
    <s v="词曲"/>
    <s v="水调歌头"/>
    <s v="雲中阙"/>
    <x v="39"/>
    <s v="⒉"/>
    <n v="2"/>
    <x v="4"/>
    <x v="3"/>
    <s v="4 - Winter"/>
    <x v="5"/>
  </r>
  <r>
    <n v="1"/>
    <s v="律诗"/>
    <s v="五律"/>
    <s v="落仙"/>
    <x v="39"/>
    <s v="⒋"/>
    <n v="4"/>
    <x v="0"/>
    <x v="0"/>
    <s v="1 - Spring"/>
    <x v="5"/>
  </r>
  <r>
    <n v="1"/>
    <s v="词曲"/>
    <s v="满江红"/>
    <s v="游思杭州学士亭"/>
    <x v="39"/>
    <s v="⒌"/>
    <n v="5"/>
    <x v="5"/>
    <x v="0"/>
    <s v="1 - Spring"/>
    <x v="5"/>
  </r>
  <r>
    <n v="1"/>
    <s v="律诗"/>
    <s v="七律"/>
    <s v="墨西芝华湾"/>
    <x v="39"/>
    <s v="⒍"/>
    <n v="6"/>
    <x v="8"/>
    <x v="2"/>
    <s v="2 - Summer"/>
    <x v="5"/>
  </r>
  <r>
    <n v="1"/>
    <s v="词曲"/>
    <s v="雨霖铃"/>
    <s v="雲网别踪"/>
    <x v="39"/>
    <s v="⒎"/>
    <n v="7"/>
    <x v="11"/>
    <x v="2"/>
    <s v="2 - Summer"/>
    <x v="5"/>
  </r>
  <r>
    <n v="1"/>
    <s v="词曲"/>
    <s v="八声甘州"/>
    <s v="萨瓦纳"/>
    <x v="39"/>
    <s v="⒎"/>
    <n v="7"/>
    <x v="11"/>
    <x v="2"/>
    <s v="2 - Summer"/>
    <x v="5"/>
  </r>
  <r>
    <n v="2"/>
    <s v="律诗"/>
    <s v="七律"/>
    <s v="杂感"/>
    <x v="39"/>
    <s v="⒎"/>
    <n v="7"/>
    <x v="11"/>
    <x v="2"/>
    <s v="2 - Summer"/>
    <x v="5"/>
  </r>
  <r>
    <n v="1"/>
    <s v="律诗"/>
    <s v="七律"/>
    <s v="英诗研习心得"/>
    <x v="39"/>
    <s v="⒎"/>
    <n v="7"/>
    <x v="11"/>
    <x v="2"/>
    <s v="2 - Summer"/>
    <x v="5"/>
  </r>
  <r>
    <n v="1"/>
    <s v="律诗"/>
    <s v="七律"/>
    <s v="双韵联句"/>
    <x v="39"/>
    <s v="⒏"/>
    <n v="8"/>
    <x v="2"/>
    <x v="2"/>
    <s v="2 - Summer"/>
    <x v="5"/>
  </r>
  <r>
    <n v="1"/>
    <s v="词曲"/>
    <s v="行香子"/>
    <s v="致友"/>
    <x v="39"/>
    <s v="⒏"/>
    <n v="8"/>
    <x v="2"/>
    <x v="2"/>
    <s v="2 - Summer"/>
    <x v="5"/>
  </r>
  <r>
    <n v="1"/>
    <s v="词曲"/>
    <s v="临江仙"/>
    <s v="重忆"/>
    <x v="39"/>
    <s v="⒐"/>
    <n v="9"/>
    <x v="1"/>
    <x v="1"/>
    <s v="3 - Autumn"/>
    <x v="5"/>
  </r>
  <r>
    <n v="1"/>
    <s v="词曲"/>
    <s v="沁园春"/>
    <s v="读兵"/>
    <x v="39"/>
    <s v="⒑"/>
    <n v="10"/>
    <x v="3"/>
    <x v="1"/>
    <s v="3 - Autumn"/>
    <x v="5"/>
  </r>
  <r>
    <n v="1"/>
    <s v="古诗"/>
    <s v="四言"/>
    <s v="赠黄老"/>
    <x v="39"/>
    <s v="⒑"/>
    <n v="10"/>
    <x v="3"/>
    <x v="1"/>
    <s v="3 - Autumn"/>
    <x v="5"/>
  </r>
  <r>
    <n v="1"/>
    <s v="古诗"/>
    <s v="七言"/>
    <s v="病後"/>
    <x v="39"/>
    <s v="⒒"/>
    <n v="11"/>
    <x v="7"/>
    <x v="1"/>
    <s v="3 - Autumn"/>
    <x v="5"/>
  </r>
  <r>
    <n v="1"/>
    <s v="律诗"/>
    <s v="七律"/>
    <s v="梦与仙友同翱"/>
    <x v="39"/>
    <s v="⒓"/>
    <n v="12"/>
    <x v="9"/>
    <x v="3"/>
    <m/>
    <x v="5"/>
  </r>
  <r>
    <n v="1"/>
    <s v="律诗"/>
    <s v="七律"/>
    <s v="大溪地游记"/>
    <x v="39"/>
    <s v="⒓"/>
    <n v="12"/>
    <x v="9"/>
    <x v="3"/>
    <m/>
    <x v="5"/>
  </r>
  <r>
    <n v="1"/>
    <s v="古诗"/>
    <s v="五言"/>
    <s v="维港晨光"/>
    <x v="39"/>
    <s v="⒓"/>
    <n v="12"/>
    <x v="9"/>
    <x v="3"/>
    <m/>
    <x v="5"/>
  </r>
  <r>
    <m/>
    <m/>
    <m/>
    <m/>
    <x v="40"/>
    <m/>
    <m/>
    <x v="12"/>
    <x v="4"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34A0D519-50C0-CF41-BF4F-8649849ADDDC}" name="PivotTable1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 / Month" colHeaderCaption="Count">
  <location ref="A1:B43" firstHeaderRow="1" firstDataRow="1" firstDataCol="1"/>
  <pivotFields count="8">
    <pivotField dataField="1" showAll="0">
      <items count="11">
        <item x="5"/>
        <item x="1"/>
        <item x="0"/>
        <item x="2"/>
        <item x="7"/>
        <item x="4"/>
        <item x="3"/>
        <item x="8"/>
        <item x="6"/>
        <item x="9"/>
        <item t="default"/>
      </items>
    </pivotField>
    <pivotField showAll="0"/>
    <pivotField showAll="0"/>
    <pivotField showAll="0"/>
    <pivotField axis="axisRow" showAll="0">
      <items count="4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t="default"/>
      </items>
    </pivotField>
    <pivotField showAll="0"/>
    <pivotField axis="axisRow" showAll="0">
      <items count="14">
        <item x="6"/>
        <item x="4"/>
        <item x="10"/>
        <item x="0"/>
        <item x="5"/>
        <item x="8"/>
        <item x="11"/>
        <item x="2"/>
        <item x="1"/>
        <item x="3"/>
        <item x="7"/>
        <item x="9"/>
        <item x="12"/>
        <item t="default"/>
      </items>
    </pivotField>
    <pivotField showAll="0"/>
  </pivotFields>
  <rowFields count="2">
    <field x="4"/>
    <field x="6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ount" fld="0" baseField="0" baseItem="0"/>
  </dataFields>
  <formats count="50">
    <format dxfId="72">
      <pivotArea type="all" dataOnly="0" outline="0" collapsedLevelsAreSubtotals="1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0" type="button" dataOnly="0" labelOnly="1" outline="0"/>
    </format>
    <format dxfId="68">
      <pivotArea type="topEnd" dataOnly="0" labelOnly="1" outline="0" fieldPosition="0"/>
    </format>
    <format dxfId="67">
      <pivotArea field="4" type="button" dataOnly="0" labelOnly="1" outline="0" axis="axisRow" fieldPosition="0"/>
    </format>
    <format dxfId="66">
      <pivotArea dataOnly="0" labelOnly="1" fieldPosition="0">
        <references count="1">
          <reference field="4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2">
          <reference field="4" count="1" selected="0">
            <x v="0"/>
          </reference>
          <reference field="6" count="2">
            <x v="3"/>
            <x v="8"/>
          </reference>
        </references>
      </pivotArea>
    </format>
    <format dxfId="63">
      <pivotArea dataOnly="0" labelOnly="1" fieldPosition="0">
        <references count="2">
          <reference field="4" count="1" selected="0">
            <x v="1"/>
          </reference>
          <reference field="6" count="1">
            <x v="7"/>
          </reference>
        </references>
      </pivotArea>
    </format>
    <format dxfId="62">
      <pivotArea dataOnly="0" labelOnly="1" fieldPosition="0">
        <references count="2">
          <reference field="4" count="1" selected="0">
            <x v="2"/>
          </reference>
          <reference field="6" count="2">
            <x v="8"/>
            <x v="9"/>
          </reference>
        </references>
      </pivotArea>
    </format>
    <format dxfId="61">
      <pivotArea dataOnly="0" labelOnly="1" fieldPosition="0">
        <references count="2">
          <reference field="4" count="1" selected="0">
            <x v="3"/>
          </reference>
          <reference field="6" count="3">
            <x v="1"/>
            <x v="3"/>
            <x v="4"/>
          </reference>
        </references>
      </pivotArea>
    </format>
    <format dxfId="60">
      <pivotArea dataOnly="0" labelOnly="1" fieldPosition="0">
        <references count="2">
          <reference field="4" count="1" selected="0">
            <x v="4"/>
          </reference>
          <reference field="6" count="2">
            <x v="1"/>
            <x v="7"/>
          </reference>
        </references>
      </pivotArea>
    </format>
    <format dxfId="59">
      <pivotArea dataOnly="0" labelOnly="1" fieldPosition="0">
        <references count="2">
          <reference field="4" count="1" selected="0">
            <x v="5"/>
          </reference>
          <reference field="6" count="3">
            <x v="0"/>
            <x v="1"/>
            <x v="7"/>
          </reference>
        </references>
      </pivotArea>
    </format>
    <format dxfId="58">
      <pivotArea dataOnly="0" labelOnly="1" fieldPosition="0">
        <references count="2">
          <reference field="4" count="1" selected="0">
            <x v="6"/>
          </reference>
          <reference field="6" count="2">
            <x v="9"/>
            <x v="10"/>
          </reference>
        </references>
      </pivotArea>
    </format>
    <format dxfId="57">
      <pivotArea dataOnly="0" labelOnly="1" fieldPosition="0">
        <references count="2">
          <reference field="4" count="1" selected="0">
            <x v="7"/>
          </reference>
          <reference field="6" count="2">
            <x v="1"/>
            <x v="7"/>
          </reference>
        </references>
      </pivotArea>
    </format>
    <format dxfId="56">
      <pivotArea dataOnly="0" labelOnly="1" fieldPosition="0">
        <references count="2">
          <reference field="4" count="1" selected="0">
            <x v="8"/>
          </reference>
          <reference field="6" count="1">
            <x v="5"/>
          </reference>
        </references>
      </pivotArea>
    </format>
    <format dxfId="55">
      <pivotArea dataOnly="0" labelOnly="1" fieldPosition="0">
        <references count="2">
          <reference field="4" count="1" selected="0">
            <x v="9"/>
          </reference>
          <reference field="6" count="2">
            <x v="0"/>
            <x v="11"/>
          </reference>
        </references>
      </pivotArea>
    </format>
    <format dxfId="54">
      <pivotArea dataOnly="0" labelOnly="1" fieldPosition="0">
        <references count="2">
          <reference field="4" count="1" selected="0">
            <x v="10"/>
          </reference>
          <reference field="6" count="1">
            <x v="1"/>
          </reference>
        </references>
      </pivotArea>
    </format>
    <format dxfId="53">
      <pivotArea dataOnly="0" labelOnly="1" fieldPosition="0">
        <references count="2">
          <reference field="4" count="1" selected="0">
            <x v="11"/>
          </reference>
          <reference field="6" count="1">
            <x v="2"/>
          </reference>
        </references>
      </pivotArea>
    </format>
    <format dxfId="52">
      <pivotArea dataOnly="0" labelOnly="1" fieldPosition="0">
        <references count="2">
          <reference field="4" count="1" selected="0">
            <x v="12"/>
          </reference>
          <reference field="6" count="4">
            <x v="2"/>
            <x v="9"/>
            <x v="10"/>
            <x v="11"/>
          </reference>
        </references>
      </pivotArea>
    </format>
    <format dxfId="51">
      <pivotArea dataOnly="0" labelOnly="1" fieldPosition="0">
        <references count="2">
          <reference field="4" count="1" selected="0">
            <x v="13"/>
          </reference>
          <reference field="6" count="6">
            <x v="0"/>
            <x v="1"/>
            <x v="2"/>
            <x v="8"/>
            <x v="9"/>
            <x v="10"/>
          </reference>
        </references>
      </pivotArea>
    </format>
    <format dxfId="50">
      <pivotArea dataOnly="0" labelOnly="1" fieldPosition="0">
        <references count="2">
          <reference field="4" count="1" selected="0">
            <x v="14"/>
          </reference>
          <reference field="6" count="2">
            <x v="2"/>
            <x v="3"/>
          </reference>
        </references>
      </pivotArea>
    </format>
    <format dxfId="49">
      <pivotArea dataOnly="0" labelOnly="1" fieldPosition="0">
        <references count="2">
          <reference field="4" count="1" selected="0">
            <x v="15"/>
          </reference>
          <reference field="6" count="1">
            <x v="2"/>
          </reference>
        </references>
      </pivotArea>
    </format>
    <format dxfId="48">
      <pivotArea dataOnly="0" labelOnly="1" fieldPosition="0">
        <references count="2">
          <reference field="4" count="1" selected="0">
            <x v="16"/>
          </reference>
          <reference field="6" count="1">
            <x v="8"/>
          </reference>
        </references>
      </pivotArea>
    </format>
    <format dxfId="47">
      <pivotArea dataOnly="0" labelOnly="1" fieldPosition="0">
        <references count="2">
          <reference field="4" count="1" selected="0">
            <x v="17"/>
          </reference>
          <reference field="6" count="1">
            <x v="8"/>
          </reference>
        </references>
      </pivotArea>
    </format>
    <format dxfId="46">
      <pivotArea dataOnly="0" labelOnly="1" fieldPosition="0">
        <references count="2">
          <reference field="4" count="1" selected="0">
            <x v="18"/>
          </reference>
          <reference field="6" count="1">
            <x v="2"/>
          </reference>
        </references>
      </pivotArea>
    </format>
    <format dxfId="45">
      <pivotArea dataOnly="0" labelOnly="1" fieldPosition="0">
        <references count="2">
          <reference field="4" count="1" selected="0">
            <x v="19"/>
          </reference>
          <reference field="6" count="2">
            <x v="3"/>
            <x v="4"/>
          </reference>
        </references>
      </pivotArea>
    </format>
    <format dxfId="44">
      <pivotArea dataOnly="0" labelOnly="1" fieldPosition="0">
        <references count="2">
          <reference field="4" count="1" selected="0">
            <x v="20"/>
          </reference>
          <reference field="6" count="4">
            <x v="1"/>
            <x v="2"/>
            <x v="5"/>
            <x v="11"/>
          </reference>
        </references>
      </pivotArea>
    </format>
    <format dxfId="43">
      <pivotArea dataOnly="0" labelOnly="1" fieldPosition="0">
        <references count="2">
          <reference field="4" count="1" selected="0">
            <x v="21"/>
          </reference>
          <reference field="6" count="2">
            <x v="4"/>
            <x v="5"/>
          </reference>
        </references>
      </pivotArea>
    </format>
    <format dxfId="42">
      <pivotArea dataOnly="0" labelOnly="1" fieldPosition="0">
        <references count="2">
          <reference field="4" count="1" selected="0">
            <x v="22"/>
          </reference>
          <reference field="6" count="3">
            <x v="0"/>
            <x v="8"/>
            <x v="11"/>
          </reference>
        </references>
      </pivotArea>
    </format>
    <format dxfId="41">
      <pivotArea dataOnly="0" labelOnly="1" fieldPosition="0">
        <references count="2">
          <reference field="4" count="1" selected="0">
            <x v="23"/>
          </reference>
          <reference field="6" count="3">
            <x v="0"/>
            <x v="8"/>
            <x v="11"/>
          </reference>
        </references>
      </pivotArea>
    </format>
    <format dxfId="40">
      <pivotArea dataOnly="0" labelOnly="1" fieldPosition="0">
        <references count="2">
          <reference field="4" count="1" selected="0">
            <x v="24"/>
          </reference>
          <reference field="6" count="5">
            <x v="0"/>
            <x v="1"/>
            <x v="7"/>
            <x v="8"/>
            <x v="9"/>
          </reference>
        </references>
      </pivotArea>
    </format>
    <format dxfId="39">
      <pivotArea dataOnly="0" labelOnly="1" fieldPosition="0">
        <references count="2">
          <reference field="4" count="1" selected="0">
            <x v="25"/>
          </reference>
          <reference field="6" count="5">
            <x v="0"/>
            <x v="1"/>
            <x v="5"/>
            <x v="8"/>
            <x v="9"/>
          </reference>
        </references>
      </pivotArea>
    </format>
    <format dxfId="38">
      <pivotArea dataOnly="0" labelOnly="1" fieldPosition="0">
        <references count="2">
          <reference field="4" count="1" selected="0">
            <x v="26"/>
          </reference>
          <reference field="6" count="2">
            <x v="5"/>
            <x v="9"/>
          </reference>
        </references>
      </pivotArea>
    </format>
    <format dxfId="37">
      <pivotArea dataOnly="0" labelOnly="1" fieldPosition="0">
        <references count="2">
          <reference field="4" count="1" selected="0">
            <x v="27"/>
          </reference>
          <reference field="6" count="1">
            <x v="10"/>
          </reference>
        </references>
      </pivotArea>
    </format>
    <format dxfId="36">
      <pivotArea dataOnly="0" labelOnly="1" fieldPosition="0">
        <references count="2">
          <reference field="4" count="1" selected="0">
            <x v="28"/>
          </reference>
          <reference field="6" count="7">
            <x v="1"/>
            <x v="2"/>
            <x v="3"/>
            <x v="5"/>
            <x v="6"/>
            <x v="8"/>
            <x v="10"/>
          </reference>
        </references>
      </pivotArea>
    </format>
    <format dxfId="35">
      <pivotArea dataOnly="0" labelOnly="1" fieldPosition="0">
        <references count="2">
          <reference field="4" count="1" selected="0">
            <x v="29"/>
          </reference>
          <reference field="6" count="3">
            <x v="0"/>
            <x v="1"/>
            <x v="2"/>
          </reference>
        </references>
      </pivotArea>
    </format>
    <format dxfId="34">
      <pivotArea dataOnly="0" labelOnly="1" fieldPosition="0">
        <references count="2">
          <reference field="4" count="1" selected="0">
            <x v="30"/>
          </reference>
          <reference field="6" count="3">
            <x v="2"/>
            <x v="3"/>
            <x v="4"/>
          </reference>
        </references>
      </pivotArea>
    </format>
    <format dxfId="33">
      <pivotArea dataOnly="0" labelOnly="1" fieldPosition="0">
        <references count="2">
          <reference field="4" count="1" selected="0">
            <x v="31"/>
          </reference>
          <reference field="6" count="3">
            <x v="8"/>
            <x v="9"/>
            <x v="10"/>
          </reference>
        </references>
      </pivotArea>
    </format>
    <format dxfId="32">
      <pivotArea dataOnly="0" labelOnly="1" fieldPosition="0">
        <references count="2">
          <reference field="4" count="1" selected="0">
            <x v="32"/>
          </reference>
          <reference field="6" count="1">
            <x v="5"/>
          </reference>
        </references>
      </pivotArea>
    </format>
    <format dxfId="31">
      <pivotArea dataOnly="0" labelOnly="1" fieldPosition="0">
        <references count="2">
          <reference field="4" count="1" selected="0">
            <x v="33"/>
          </reference>
          <reference field="6" count="1">
            <x v="11"/>
          </reference>
        </references>
      </pivotArea>
    </format>
    <format dxfId="30">
      <pivotArea dataOnly="0" labelOnly="1" fieldPosition="0">
        <references count="2">
          <reference field="4" count="1" selected="0">
            <x v="34"/>
          </reference>
          <reference field="6" count="3">
            <x v="7"/>
            <x v="10"/>
            <x v="11"/>
          </reference>
        </references>
      </pivotArea>
    </format>
    <format dxfId="29">
      <pivotArea dataOnly="0" labelOnly="1" fieldPosition="0">
        <references count="2">
          <reference field="4" count="1" selected="0">
            <x v="35"/>
          </reference>
          <reference field="6" count="10">
            <x v="0"/>
            <x v="1"/>
            <x v="2"/>
            <x v="3"/>
            <x v="5"/>
            <x v="6"/>
            <x v="7"/>
            <x v="8"/>
            <x v="9"/>
            <x v="10"/>
          </reference>
        </references>
      </pivotArea>
    </format>
    <format dxfId="28">
      <pivotArea dataOnly="0" labelOnly="1" fieldPosition="0">
        <references count="2">
          <reference field="4" count="1" selected="0">
            <x v="36"/>
          </reference>
          <reference field="6" count="6">
            <x v="3"/>
            <x v="4"/>
            <x v="6"/>
            <x v="8"/>
            <x v="9"/>
            <x v="10"/>
          </reference>
        </references>
      </pivotArea>
    </format>
    <format dxfId="27">
      <pivotArea dataOnly="0" labelOnly="1" fieldPosition="0">
        <references count="2">
          <reference field="4" count="1" selected="0">
            <x v="37"/>
          </reference>
          <reference field="6" count="8">
            <x v="0"/>
            <x v="1"/>
            <x v="2"/>
            <x v="5"/>
            <x v="6"/>
            <x v="7"/>
            <x v="9"/>
            <x v="11"/>
          </reference>
        </references>
      </pivotArea>
    </format>
    <format dxfId="26">
      <pivotArea dataOnly="0" labelOnly="1" fieldPosition="0">
        <references count="2">
          <reference field="4" count="1" selected="0">
            <x v="38"/>
          </reference>
          <reference field="6" count="6">
            <x v="0"/>
            <x v="1"/>
            <x v="2"/>
            <x v="6"/>
            <x v="8"/>
            <x v="9"/>
          </reference>
        </references>
      </pivotArea>
    </format>
    <format dxfId="25">
      <pivotArea dataOnly="0" labelOnly="1" fieldPosition="0">
        <references count="2">
          <reference field="4" count="1" selected="0">
            <x v="39"/>
          </reference>
          <reference field="6" count="9">
            <x v="1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4">
      <pivotArea dataOnly="0" labelOnly="1" fieldPosition="0">
        <references count="2">
          <reference field="4" count="1" selected="0">
            <x v="40"/>
          </reference>
          <reference field="6" count="1">
            <x v="12"/>
          </reference>
        </references>
      </pivotArea>
    </format>
    <format dxfId="2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899CF27-EF14-1746-A3C9-9E7D8F103706}" name="GroupByYear" cacheId="103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D1:E44" firstHeaderRow="2" firstDataRow="2" firstDataCol="1"/>
  <pivotFields count="11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4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Group By Year" fld="0" baseField="0" baseItem="0"/>
  </dataFields>
  <formats count="2">
    <format dxfId="74">
      <pivotArea type="all" dataOnly="0" outline="0" fieldPosition="0"/>
    </format>
    <format dxfId="73">
      <pivotArea type="origin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658C1D1F-6E05-1A4C-85B1-F21398C3FCBA}" name="GroupBySeasons" cacheId="103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G1:H8" firstHeaderRow="2" firstDataRow="2" firstDataCol="1"/>
  <pivotFields count="11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1"/>
        <item x="0"/>
        <item x="2"/>
        <item x="3"/>
        <item x="4"/>
        <item t="default"/>
      </items>
    </pivotField>
    <pivotField compact="0" outline="0" showAll="0" includeNewItemsInFilter="1"/>
    <pivotField compact="0" outline="0" showAll="0" includeNewItemsInFilter="1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By Seasons" fld="0" baseField="0" baseItem="0"/>
  </dataFields>
  <formats count="7">
    <format dxfId="81">
      <pivotArea type="all" dataOnly="0" outline="0" fieldPosition="0"/>
    </format>
    <format dxfId="80">
      <pivotArea outline="0" fieldPosition="0"/>
    </format>
    <format dxfId="79">
      <pivotArea type="origin" dataOnly="0" labelOnly="1" outline="0" fieldPosition="0"/>
    </format>
    <format dxfId="78">
      <pivotArea field="8" type="button" dataOnly="0" labelOnly="1" outline="0" axis="axisRow" fieldPosition="0"/>
    </format>
    <format dxfId="77">
      <pivotArea dataOnly="0" labelOnly="1" outline="0" fieldPosition="0">
        <references count="1">
          <reference field="8" count="0"/>
        </references>
      </pivotArea>
    </format>
    <format dxfId="76">
      <pivotArea dataOnly="0" labelOnly="1" grandRow="1" outline="0" fieldPosition="0"/>
    </format>
    <format dxfId="75">
      <pivotArea type="topEnd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A5BFE6A-1B73-9C4D-8E47-871B2EBEB30B}" name="GroupByYears" cacheId="103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G29:H38" firstHeaderRow="2" firstDataRow="2" firstDataCol="1"/>
  <pivotFields count="11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By Years" fld="0" baseField="0" baseItem="0"/>
  </dataFields>
  <formats count="7">
    <format dxfId="88">
      <pivotArea type="all" dataOnly="0" outline="0" fieldPosition="0"/>
    </format>
    <format dxfId="87">
      <pivotArea outline="0" fieldPosition="0"/>
    </format>
    <format dxfId="86">
      <pivotArea type="origin" dataOnly="0" labelOnly="1" outline="0" fieldPosition="0"/>
    </format>
    <format dxfId="85">
      <pivotArea field="10" type="button" dataOnly="0" labelOnly="1" outline="0" axis="axisRow" fieldPosition="0"/>
    </format>
    <format dxfId="84">
      <pivotArea dataOnly="0" labelOnly="1" outline="0" fieldPosition="0">
        <references count="1">
          <reference field="10" count="0"/>
        </references>
      </pivotArea>
    </format>
    <format dxfId="83">
      <pivotArea dataOnly="0" labelOnly="1" grandRow="1" outline="0" fieldPosition="0"/>
    </format>
    <format dxfId="82">
      <pivotArea type="topEnd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2D89AE2B-AD32-BC4B-A055-1B66D5A69D11}" name="PivotTable3" cacheId="103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G9:H24" firstHeaderRow="2" firstDataRow="2" firstDataCol="1"/>
  <pivotFields count="11"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4">
        <item x="6"/>
        <item x="4"/>
        <item x="10"/>
        <item x="0"/>
        <item x="5"/>
        <item x="8"/>
        <item x="11"/>
        <item x="2"/>
        <item x="1"/>
        <item x="3"/>
        <item x="7"/>
        <item x="9"/>
        <item x="12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By Months" fld="0" baseField="0" baseItem="0"/>
  </dataFields>
  <formats count="7">
    <format dxfId="95">
      <pivotArea type="all" dataOnly="0" outline="0" fieldPosition="0"/>
    </format>
    <format dxfId="94">
      <pivotArea outline="0" fieldPosition="0"/>
    </format>
    <format dxfId="93">
      <pivotArea type="origin" dataOnly="0" labelOnly="1" outline="0" fieldPosition="0"/>
    </format>
    <format dxfId="92">
      <pivotArea field="7" type="button" dataOnly="0" labelOnly="1" outline="0" axis="axisRow" fieldPosition="0"/>
    </format>
    <format dxfId="91">
      <pivotArea dataOnly="0" labelOnly="1" outline="0" fieldPosition="0">
        <references count="1">
          <reference field="7" count="0"/>
        </references>
      </pivotArea>
    </format>
    <format dxfId="90">
      <pivotArea dataOnly="0" labelOnly="1" grandRow="1" outline="0" fieldPosition="0"/>
    </format>
    <format dxfId="89">
      <pivotArea type="topEnd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B1FABD02-9A4F-2F4E-98CC-4A41CC9E9AD0}" name="Table2" displayName="Table2" ref="A1:K65539" totalsRowShown="0" headerRowDxfId="110" dataDxfId="108" headerRowBorderDxfId="109" tableBorderDxfId="107">
  <autoFilter ref="A1:K65539" xr:uid="{4C4B196D-BF96-E846-9447-43C2E95DA6FC}"/>
  <tableColumns count="11">
    <tableColumn id="1" xr3:uid="{00000000-0010-0000-0100-000001000000}" name="#" dataDxfId="106"/>
    <tableColumn id="2" xr3:uid="{00000000-0010-0000-0100-000002000000}" name="分类" dataDxfId="105"/>
    <tableColumn id="3" xr3:uid="{00000000-0010-0000-0100-000003000000}" name="格体" dataDxfId="104"/>
    <tableColumn id="4" xr3:uid="{00000000-0010-0000-0100-000004000000}" name="标题" dataDxfId="103"/>
    <tableColumn id="5" xr3:uid="{00000000-0010-0000-0100-000005000000}" name="年" dataDxfId="102"/>
    <tableColumn id="6" xr3:uid="{00000000-0010-0000-0100-000006000000}" name="月份" dataDxfId="101"/>
    <tableColumn id="7" xr3:uid="{00000000-0010-0000-0100-000007000000}" name="月" dataDxfId="100"/>
    <tableColumn id="8" xr3:uid="{00000000-0010-0000-0100-000008000000}" name="Month" dataDxfId="99"/>
    <tableColumn id="9" xr3:uid="{00000000-0010-0000-0100-000009000000}" name="Season" dataDxfId="98"/>
    <tableColumn id="10" xr3:uid="{00000000-0010-0000-0100-00000A000000}" name="S#" dataDxfId="97"/>
    <tableColumn id="11" xr3:uid="{00000000-0010-0000-0100-00000B000000}" name="Years" dataDxfId="96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Relationship Id="rId5" Type="http://purl.oclc.org/ooxml/officeDocument/relationships/pivotTable" Target="../pivotTables/pivotTable5.xml"/><Relationship Id="rId4" Type="http://purl.oclc.org/ooxml/officeDocument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D77E-50FB-F946-95D5-F5072752F13B}">
  <dimension ref="A1:K218"/>
  <sheetViews>
    <sheetView tabSelected="1" zoomScale="125" zoomScaleNormal="125" zoomScaleSheetLayoutView="125" workbookViewId="0">
      <pane xSplit="1" ySplit="1" topLeftCell="B195" activePane="bottomRight" state="frozen"/>
      <selection pane="topRight" activeCell="B1" sqref="B1"/>
      <selection pane="bottomLeft" activeCell="A2" sqref="A2"/>
      <selection pane="bottomRight" activeCell="K218" sqref="K218"/>
    </sheetView>
  </sheetViews>
  <sheetFormatPr baseColWidth="10" defaultRowHeight="25" customHeight="1"/>
  <cols>
    <col min="1" max="1" width="5.83203125" style="2" customWidth="1"/>
    <col min="2" max="2" width="6.83203125" style="2" customWidth="1"/>
    <col min="3" max="3" width="10.83203125" style="4"/>
    <col min="4" max="4" width="30.83203125" style="4" customWidth="1"/>
    <col min="5" max="5" width="5.83203125" style="2" customWidth="1"/>
    <col min="6" max="6" width="6.83203125" style="2" customWidth="1"/>
    <col min="7" max="7" width="5.83203125" style="2" customWidth="1"/>
    <col min="8" max="8" width="8.33203125" style="2" customWidth="1"/>
    <col min="9" max="9" width="8.83203125" style="2" customWidth="1"/>
    <col min="10" max="10" width="10.83203125" style="2" hidden="1" customWidth="1"/>
    <col min="11" max="11" width="7.33203125" style="2" customWidth="1"/>
    <col min="12" max="16384" width="10.83203125" style="5"/>
  </cols>
  <sheetData>
    <row r="1" spans="1:11" s="3" customFormat="1" ht="25" customHeight="1">
      <c r="A1" s="15" t="s">
        <v>12</v>
      </c>
      <c r="B1" s="16" t="s">
        <v>14</v>
      </c>
      <c r="C1" s="17" t="s">
        <v>15</v>
      </c>
      <c r="D1" s="17" t="s">
        <v>16</v>
      </c>
      <c r="E1" s="16" t="s">
        <v>17</v>
      </c>
      <c r="F1" s="16" t="s">
        <v>18</v>
      </c>
      <c r="G1" s="16" t="s">
        <v>19</v>
      </c>
      <c r="H1" s="16" t="s">
        <v>13</v>
      </c>
      <c r="I1" s="16" t="s">
        <v>289</v>
      </c>
      <c r="J1" s="16" t="s">
        <v>290</v>
      </c>
      <c r="K1" s="16" t="s">
        <v>288</v>
      </c>
    </row>
    <row r="2" spans="1:11" ht="25" customHeight="1">
      <c r="A2" s="2">
        <v>2</v>
      </c>
      <c r="B2" s="2" t="s">
        <v>20</v>
      </c>
      <c r="C2" s="4" t="s">
        <v>21</v>
      </c>
      <c r="D2" s="4" t="s">
        <v>22</v>
      </c>
      <c r="E2" s="2">
        <v>1979</v>
      </c>
      <c r="F2" s="2" t="s">
        <v>23</v>
      </c>
      <c r="G2" s="2">
        <v>4</v>
      </c>
      <c r="H2" s="2" t="s">
        <v>0</v>
      </c>
      <c r="I2" s="2" t="str">
        <f>LOOKUP(G2,{1,3,6,9,12},{"Winter","Spring","Summer","Autumn","Winter"})</f>
        <v>Spring</v>
      </c>
      <c r="J2" s="2" t="s">
        <v>291</v>
      </c>
      <c r="K2" s="2">
        <f>ROUNDDOWN(E2/10,0)*10</f>
        <v>1970</v>
      </c>
    </row>
    <row r="3" spans="1:11" ht="25" customHeight="1">
      <c r="A3" s="2">
        <v>2</v>
      </c>
      <c r="B3" s="2" t="s">
        <v>20</v>
      </c>
      <c r="C3" s="4" t="s">
        <v>21</v>
      </c>
      <c r="D3" s="4" t="s">
        <v>24</v>
      </c>
      <c r="E3" s="2">
        <v>1979</v>
      </c>
      <c r="F3" s="2" t="s">
        <v>25</v>
      </c>
      <c r="G3" s="2">
        <v>9</v>
      </c>
      <c r="H3" s="2" t="s">
        <v>1</v>
      </c>
      <c r="I3" s="2" t="str">
        <f>LOOKUP(G3,{1,3,6,9,12},{"Winter","Spring","Summer","Autumn","Winter"})</f>
        <v>Autumn</v>
      </c>
      <c r="J3" s="2" t="s">
        <v>293</v>
      </c>
      <c r="K3" s="2">
        <f t="shared" ref="K3:K66" si="0">ROUNDDOWN(E3/10,0)*10</f>
        <v>1970</v>
      </c>
    </row>
    <row r="4" spans="1:11" ht="25" customHeight="1">
      <c r="A4" s="2">
        <v>2</v>
      </c>
      <c r="B4" s="2" t="s">
        <v>20</v>
      </c>
      <c r="C4" s="4" t="s">
        <v>21</v>
      </c>
      <c r="D4" s="4" t="s">
        <v>26</v>
      </c>
      <c r="E4" s="2">
        <v>1980</v>
      </c>
      <c r="F4" s="2" t="s">
        <v>27</v>
      </c>
      <c r="G4" s="2">
        <v>8</v>
      </c>
      <c r="H4" s="2" t="s">
        <v>2</v>
      </c>
      <c r="I4" s="2" t="str">
        <f>LOOKUP(G4,{1,3,6,9,12},{"Winter","Spring","Summer","Autumn","Winter"})</f>
        <v>Summer</v>
      </c>
      <c r="J4" s="2" t="s">
        <v>292</v>
      </c>
      <c r="K4" s="2">
        <f t="shared" si="0"/>
        <v>1980</v>
      </c>
    </row>
    <row r="5" spans="1:11" ht="25" customHeight="1">
      <c r="A5" s="2">
        <v>1</v>
      </c>
      <c r="B5" s="2" t="s">
        <v>28</v>
      </c>
      <c r="C5" s="4" t="s">
        <v>29</v>
      </c>
      <c r="D5" s="4" t="s">
        <v>30</v>
      </c>
      <c r="E5" s="2">
        <v>1982</v>
      </c>
      <c r="F5" s="2" t="s">
        <v>25</v>
      </c>
      <c r="G5" s="2">
        <v>9</v>
      </c>
      <c r="H5" s="2" t="s">
        <v>1</v>
      </c>
      <c r="I5" s="2" t="str">
        <f>LOOKUP(G5,{1,3,6,9,12},{"Winter","Spring","Summer","Autumn","Winter"})</f>
        <v>Autumn</v>
      </c>
      <c r="J5" s="2" t="s">
        <v>293</v>
      </c>
      <c r="K5" s="2">
        <f t="shared" si="0"/>
        <v>1980</v>
      </c>
    </row>
    <row r="6" spans="1:11" ht="25" customHeight="1">
      <c r="A6" s="2">
        <v>1</v>
      </c>
      <c r="B6" s="2" t="s">
        <v>28</v>
      </c>
      <c r="C6" s="4" t="s">
        <v>31</v>
      </c>
      <c r="D6" s="4" t="s">
        <v>32</v>
      </c>
      <c r="E6" s="2">
        <v>1982</v>
      </c>
      <c r="F6" s="2" t="s">
        <v>25</v>
      </c>
      <c r="G6" s="2">
        <v>9</v>
      </c>
      <c r="H6" s="2" t="s">
        <v>1</v>
      </c>
      <c r="I6" s="2" t="str">
        <f>LOOKUP(G6,{1,3,6,9,12},{"Winter","Spring","Summer","Autumn","Winter"})</f>
        <v>Autumn</v>
      </c>
      <c r="J6" s="2" t="s">
        <v>293</v>
      </c>
      <c r="K6" s="2">
        <f t="shared" si="0"/>
        <v>1980</v>
      </c>
    </row>
    <row r="7" spans="1:11" ht="25" customHeight="1">
      <c r="A7" s="2">
        <v>1</v>
      </c>
      <c r="B7" s="2" t="s">
        <v>28</v>
      </c>
      <c r="C7" s="4" t="s">
        <v>33</v>
      </c>
      <c r="D7" s="4" t="s">
        <v>34</v>
      </c>
      <c r="E7" s="2">
        <v>1982</v>
      </c>
      <c r="F7" s="2" t="s">
        <v>25</v>
      </c>
      <c r="G7" s="2">
        <v>9</v>
      </c>
      <c r="H7" s="2" t="s">
        <v>1</v>
      </c>
      <c r="I7" s="2" t="str">
        <f>LOOKUP(G7,{1,3,6,9,12},{"Winter","Spring","Summer","Autumn","Winter"})</f>
        <v>Autumn</v>
      </c>
      <c r="J7" s="2" t="s">
        <v>293</v>
      </c>
      <c r="K7" s="2">
        <f t="shared" si="0"/>
        <v>1980</v>
      </c>
    </row>
    <row r="8" spans="1:11" ht="25" customHeight="1">
      <c r="A8" s="2">
        <v>1</v>
      </c>
      <c r="B8" s="2" t="s">
        <v>28</v>
      </c>
      <c r="C8" s="4" t="s">
        <v>35</v>
      </c>
      <c r="D8" s="4" t="s">
        <v>36</v>
      </c>
      <c r="E8" s="2">
        <v>1982</v>
      </c>
      <c r="F8" s="2" t="s">
        <v>25</v>
      </c>
      <c r="G8" s="2">
        <v>9</v>
      </c>
      <c r="H8" s="2" t="s">
        <v>1</v>
      </c>
      <c r="I8" s="2" t="str">
        <f>LOOKUP(G8,{1,3,6,9,12},{"Winter","Spring","Summer","Autumn","Winter"})</f>
        <v>Autumn</v>
      </c>
      <c r="J8" s="2" t="s">
        <v>293</v>
      </c>
      <c r="K8" s="2">
        <f t="shared" si="0"/>
        <v>1980</v>
      </c>
    </row>
    <row r="9" spans="1:11" ht="25" customHeight="1">
      <c r="A9" s="2">
        <v>3</v>
      </c>
      <c r="B9" s="2" t="s">
        <v>37</v>
      </c>
      <c r="C9" s="4" t="s">
        <v>38</v>
      </c>
      <c r="D9" s="4" t="s">
        <v>39</v>
      </c>
      <c r="E9" s="2">
        <v>1982</v>
      </c>
      <c r="F9" s="2" t="s">
        <v>40</v>
      </c>
      <c r="G9" s="2">
        <v>10</v>
      </c>
      <c r="H9" s="2" t="s">
        <v>3</v>
      </c>
      <c r="I9" s="2" t="str">
        <f>LOOKUP(G9,{1,3,6,9,12},{"Winter","Spring","Summer","Autumn","Winter"})</f>
        <v>Autumn</v>
      </c>
      <c r="J9" s="2" t="s">
        <v>293</v>
      </c>
      <c r="K9" s="2">
        <f t="shared" si="0"/>
        <v>1980</v>
      </c>
    </row>
    <row r="10" spans="1:11" ht="25" customHeight="1">
      <c r="A10" s="2">
        <v>1</v>
      </c>
      <c r="B10" s="2" t="s">
        <v>28</v>
      </c>
      <c r="C10" s="4" t="s">
        <v>41</v>
      </c>
      <c r="D10" s="4" t="s">
        <v>42</v>
      </c>
      <c r="E10" s="2">
        <v>1983</v>
      </c>
      <c r="F10" s="2" t="s">
        <v>43</v>
      </c>
      <c r="G10" s="2">
        <v>2</v>
      </c>
      <c r="H10" s="2" t="s">
        <v>4</v>
      </c>
      <c r="I10" s="2" t="str">
        <f>LOOKUP(G10,{1,3,6,9,12},{"Winter","Spring","Summer","Autumn","Winter"})</f>
        <v>Winter</v>
      </c>
      <c r="J10" s="2" t="s">
        <v>294</v>
      </c>
      <c r="K10" s="2">
        <f t="shared" si="0"/>
        <v>1980</v>
      </c>
    </row>
    <row r="11" spans="1:11" ht="25" customHeight="1">
      <c r="A11" s="2">
        <v>1</v>
      </c>
      <c r="B11" s="2" t="s">
        <v>28</v>
      </c>
      <c r="C11" s="4" t="s">
        <v>44</v>
      </c>
      <c r="D11" s="4" t="s">
        <v>45</v>
      </c>
      <c r="E11" s="2">
        <v>1983</v>
      </c>
      <c r="F11" s="2" t="s">
        <v>43</v>
      </c>
      <c r="G11" s="2">
        <v>2</v>
      </c>
      <c r="H11" s="2" t="s">
        <v>4</v>
      </c>
      <c r="I11" s="2" t="str">
        <f>LOOKUP(G11,{1,3,6,9,12},{"Winter","Spring","Summer","Autumn","Winter"})</f>
        <v>Winter</v>
      </c>
      <c r="J11" s="2" t="s">
        <v>294</v>
      </c>
      <c r="K11" s="2">
        <f t="shared" si="0"/>
        <v>1980</v>
      </c>
    </row>
    <row r="12" spans="1:11" ht="25" customHeight="1">
      <c r="A12" s="2">
        <v>1</v>
      </c>
      <c r="B12" s="2" t="s">
        <v>28</v>
      </c>
      <c r="C12" s="4" t="s">
        <v>46</v>
      </c>
      <c r="D12" s="4" t="s">
        <v>47</v>
      </c>
      <c r="E12" s="2">
        <v>1983</v>
      </c>
      <c r="F12" s="2" t="s">
        <v>23</v>
      </c>
      <c r="G12" s="2">
        <v>4</v>
      </c>
      <c r="H12" s="2" t="s">
        <v>0</v>
      </c>
      <c r="I12" s="2" t="str">
        <f>LOOKUP(G12,{1,3,6,9,12},{"Winter","Spring","Summer","Autumn","Winter"})</f>
        <v>Spring</v>
      </c>
      <c r="J12" s="2" t="s">
        <v>291</v>
      </c>
      <c r="K12" s="2">
        <f t="shared" si="0"/>
        <v>1980</v>
      </c>
    </row>
    <row r="13" spans="1:11" ht="25" customHeight="1">
      <c r="A13" s="2">
        <v>1</v>
      </c>
      <c r="B13" s="2" t="s">
        <v>28</v>
      </c>
      <c r="C13" s="4" t="s">
        <v>48</v>
      </c>
      <c r="D13" s="4" t="s">
        <v>49</v>
      </c>
      <c r="E13" s="2">
        <v>1983</v>
      </c>
      <c r="F13" s="2" t="s">
        <v>50</v>
      </c>
      <c r="G13" s="2">
        <v>5</v>
      </c>
      <c r="H13" s="2" t="s">
        <v>5</v>
      </c>
      <c r="I13" s="2" t="str">
        <f>LOOKUP(G13,{1,3,6,9,12},{"Winter","Spring","Summer","Autumn","Winter"})</f>
        <v>Spring</v>
      </c>
      <c r="J13" s="2" t="s">
        <v>291</v>
      </c>
      <c r="K13" s="2">
        <f t="shared" si="0"/>
        <v>1980</v>
      </c>
    </row>
    <row r="14" spans="1:11" ht="25" customHeight="1">
      <c r="A14" s="2">
        <v>1</v>
      </c>
      <c r="B14" s="2" t="s">
        <v>28</v>
      </c>
      <c r="C14" s="4" t="s">
        <v>51</v>
      </c>
      <c r="D14" s="4" t="s">
        <v>52</v>
      </c>
      <c r="E14" s="2">
        <v>1983</v>
      </c>
      <c r="F14" s="2" t="s">
        <v>50</v>
      </c>
      <c r="G14" s="2">
        <v>5</v>
      </c>
      <c r="H14" s="2" t="s">
        <v>5</v>
      </c>
      <c r="I14" s="2" t="str">
        <f>LOOKUP(G14,{1,3,6,9,12},{"Winter","Spring","Summer","Autumn","Winter"})</f>
        <v>Spring</v>
      </c>
      <c r="J14" s="2" t="s">
        <v>291</v>
      </c>
      <c r="K14" s="2">
        <f t="shared" si="0"/>
        <v>1980</v>
      </c>
    </row>
    <row r="15" spans="1:11" ht="25" customHeight="1">
      <c r="A15" s="2">
        <v>1</v>
      </c>
      <c r="B15" s="2" t="s">
        <v>28</v>
      </c>
      <c r="C15" s="4" t="s">
        <v>53</v>
      </c>
      <c r="D15" s="4" t="s">
        <v>42</v>
      </c>
      <c r="E15" s="2">
        <v>1984</v>
      </c>
      <c r="F15" s="2" t="s">
        <v>43</v>
      </c>
      <c r="G15" s="2">
        <v>2</v>
      </c>
      <c r="H15" s="2" t="s">
        <v>4</v>
      </c>
      <c r="I15" s="2" t="str">
        <f>LOOKUP(G15,{1,3,6,9,12},{"Winter","Spring","Summer","Autumn","Winter"})</f>
        <v>Winter</v>
      </c>
      <c r="J15" s="2" t="s">
        <v>294</v>
      </c>
      <c r="K15" s="2">
        <f t="shared" si="0"/>
        <v>1980</v>
      </c>
    </row>
    <row r="16" spans="1:11" ht="25" customHeight="1">
      <c r="A16" s="2">
        <v>1</v>
      </c>
      <c r="B16" s="2" t="s">
        <v>28</v>
      </c>
      <c r="C16" s="4" t="s">
        <v>54</v>
      </c>
      <c r="D16" s="4" t="s">
        <v>55</v>
      </c>
      <c r="E16" s="2">
        <v>1984</v>
      </c>
      <c r="F16" s="2" t="s">
        <v>27</v>
      </c>
      <c r="G16" s="2">
        <v>8</v>
      </c>
      <c r="H16" s="2" t="s">
        <v>2</v>
      </c>
      <c r="I16" s="2" t="str">
        <f>LOOKUP(G16,{1,3,6,9,12},{"Winter","Spring","Summer","Autumn","Winter"})</f>
        <v>Summer</v>
      </c>
      <c r="J16" s="2" t="s">
        <v>292</v>
      </c>
      <c r="K16" s="2">
        <f t="shared" si="0"/>
        <v>1980</v>
      </c>
    </row>
    <row r="17" spans="1:11" ht="25" customHeight="1">
      <c r="A17" s="2">
        <v>1</v>
      </c>
      <c r="B17" s="2" t="s">
        <v>28</v>
      </c>
      <c r="C17" s="4" t="s">
        <v>56</v>
      </c>
      <c r="D17" s="4" t="s">
        <v>57</v>
      </c>
      <c r="E17" s="2">
        <v>1984</v>
      </c>
      <c r="F17" s="2" t="s">
        <v>27</v>
      </c>
      <c r="G17" s="2">
        <v>8</v>
      </c>
      <c r="H17" s="2" t="s">
        <v>2</v>
      </c>
      <c r="I17" s="2" t="str">
        <f>LOOKUP(G17,{1,3,6,9,12},{"Winter","Spring","Summer","Autumn","Winter"})</f>
        <v>Summer</v>
      </c>
      <c r="J17" s="2" t="s">
        <v>292</v>
      </c>
      <c r="K17" s="2">
        <f t="shared" si="0"/>
        <v>1980</v>
      </c>
    </row>
    <row r="18" spans="1:11" ht="25" customHeight="1">
      <c r="A18" s="2">
        <v>1</v>
      </c>
      <c r="B18" s="2" t="s">
        <v>28</v>
      </c>
      <c r="C18" s="4" t="s">
        <v>58</v>
      </c>
      <c r="D18" s="4" t="s">
        <v>59</v>
      </c>
      <c r="E18" s="2">
        <v>1984</v>
      </c>
      <c r="F18" s="2" t="s">
        <v>27</v>
      </c>
      <c r="G18" s="2">
        <v>8</v>
      </c>
      <c r="H18" s="2" t="s">
        <v>2</v>
      </c>
      <c r="I18" s="2" t="str">
        <f>LOOKUP(G18,{1,3,6,9,12},{"Winter","Spring","Summer","Autumn","Winter"})</f>
        <v>Summer</v>
      </c>
      <c r="J18" s="2" t="s">
        <v>292</v>
      </c>
      <c r="K18" s="2">
        <f t="shared" si="0"/>
        <v>1980</v>
      </c>
    </row>
    <row r="19" spans="1:11" ht="25" customHeight="1">
      <c r="A19" s="2">
        <v>1</v>
      </c>
      <c r="B19" s="2" t="s">
        <v>28</v>
      </c>
      <c r="C19" s="4" t="s">
        <v>60</v>
      </c>
      <c r="D19" s="4" t="s">
        <v>61</v>
      </c>
      <c r="E19" s="2">
        <v>1984</v>
      </c>
      <c r="F19" s="2" t="s">
        <v>27</v>
      </c>
      <c r="G19" s="2">
        <v>8</v>
      </c>
      <c r="H19" s="2" t="s">
        <v>2</v>
      </c>
      <c r="I19" s="2" t="str">
        <f>LOOKUP(G19,{1,3,6,9,12},{"Winter","Spring","Summer","Autumn","Winter"})</f>
        <v>Summer</v>
      </c>
      <c r="J19" s="2" t="s">
        <v>292</v>
      </c>
      <c r="K19" s="2">
        <f t="shared" si="0"/>
        <v>1980</v>
      </c>
    </row>
    <row r="20" spans="1:11" ht="25" customHeight="1">
      <c r="A20" s="2">
        <v>1</v>
      </c>
      <c r="B20" s="2" t="s">
        <v>28</v>
      </c>
      <c r="C20" s="4" t="s">
        <v>62</v>
      </c>
      <c r="D20" s="4" t="s">
        <v>52</v>
      </c>
      <c r="E20" s="2">
        <v>1985</v>
      </c>
      <c r="F20" s="2" t="s">
        <v>63</v>
      </c>
      <c r="G20" s="2">
        <v>1</v>
      </c>
      <c r="H20" s="2" t="s">
        <v>6</v>
      </c>
      <c r="I20" s="2" t="str">
        <f>LOOKUP(G20,{1,3,6,9,12},{"Winter","Spring","Summer","Autumn","Winter"})</f>
        <v>Winter</v>
      </c>
      <c r="J20" s="2" t="s">
        <v>294</v>
      </c>
      <c r="K20" s="2">
        <f t="shared" si="0"/>
        <v>1980</v>
      </c>
    </row>
    <row r="21" spans="1:11" ht="25" customHeight="1">
      <c r="A21" s="2">
        <v>2</v>
      </c>
      <c r="B21" s="2" t="s">
        <v>37</v>
      </c>
      <c r="C21" s="4" t="s">
        <v>38</v>
      </c>
      <c r="D21" s="4" t="s">
        <v>64</v>
      </c>
      <c r="E21" s="2">
        <v>1985</v>
      </c>
      <c r="F21" s="2" t="s">
        <v>63</v>
      </c>
      <c r="G21" s="2">
        <v>1</v>
      </c>
      <c r="H21" s="2" t="s">
        <v>6</v>
      </c>
      <c r="I21" s="2" t="str">
        <f>LOOKUP(G21,{1,3,6,9,12},{"Winter","Spring","Summer","Autumn","Winter"})</f>
        <v>Winter</v>
      </c>
      <c r="J21" s="2" t="s">
        <v>294</v>
      </c>
      <c r="K21" s="2">
        <f t="shared" si="0"/>
        <v>1980</v>
      </c>
    </row>
    <row r="22" spans="1:11" ht="25" customHeight="1">
      <c r="A22" s="2">
        <v>1</v>
      </c>
      <c r="B22" s="2" t="s">
        <v>37</v>
      </c>
      <c r="C22" s="4" t="s">
        <v>38</v>
      </c>
      <c r="D22" s="4" t="s">
        <v>65</v>
      </c>
      <c r="E22" s="2">
        <v>1985</v>
      </c>
      <c r="F22" s="2" t="s">
        <v>63</v>
      </c>
      <c r="G22" s="2">
        <v>1</v>
      </c>
      <c r="H22" s="2" t="s">
        <v>6</v>
      </c>
      <c r="I22" s="2" t="str">
        <f>LOOKUP(G22,{1,3,6,9,12},{"Winter","Spring","Summer","Autumn","Winter"})</f>
        <v>Winter</v>
      </c>
      <c r="J22" s="2" t="s">
        <v>294</v>
      </c>
      <c r="K22" s="2">
        <f t="shared" si="0"/>
        <v>1980</v>
      </c>
    </row>
    <row r="23" spans="1:11" ht="25" customHeight="1">
      <c r="A23" s="2">
        <v>1</v>
      </c>
      <c r="B23" s="2" t="s">
        <v>28</v>
      </c>
      <c r="C23" s="4" t="s">
        <v>66</v>
      </c>
      <c r="D23" s="4" t="s">
        <v>67</v>
      </c>
      <c r="E23" s="2">
        <v>1985</v>
      </c>
      <c r="F23" s="2" t="s">
        <v>43</v>
      </c>
      <c r="G23" s="2">
        <v>2</v>
      </c>
      <c r="H23" s="2" t="s">
        <v>4</v>
      </c>
      <c r="I23" s="2" t="str">
        <f>LOOKUP(G23,{1,3,6,9,12},{"Winter","Spring","Summer","Autumn","Winter"})</f>
        <v>Winter</v>
      </c>
      <c r="J23" s="2" t="s">
        <v>294</v>
      </c>
      <c r="K23" s="2">
        <f t="shared" si="0"/>
        <v>1980</v>
      </c>
    </row>
    <row r="24" spans="1:11" ht="25" customHeight="1">
      <c r="A24" s="2">
        <v>3</v>
      </c>
      <c r="B24" s="2" t="s">
        <v>37</v>
      </c>
      <c r="C24" s="4" t="s">
        <v>38</v>
      </c>
      <c r="D24" s="4" t="s">
        <v>68</v>
      </c>
      <c r="E24" s="2">
        <v>1985</v>
      </c>
      <c r="F24" s="2" t="s">
        <v>27</v>
      </c>
      <c r="G24" s="2">
        <v>8</v>
      </c>
      <c r="H24" s="2" t="s">
        <v>2</v>
      </c>
      <c r="I24" s="2" t="str">
        <f>LOOKUP(G24,{1,3,6,9,12},{"Winter","Spring","Summer","Autumn","Winter"})</f>
        <v>Summer</v>
      </c>
      <c r="J24" s="2" t="s">
        <v>292</v>
      </c>
      <c r="K24" s="2">
        <f t="shared" si="0"/>
        <v>1980</v>
      </c>
    </row>
    <row r="25" spans="1:11" ht="25" customHeight="1">
      <c r="A25" s="2">
        <v>1</v>
      </c>
      <c r="B25" s="2" t="s">
        <v>37</v>
      </c>
      <c r="C25" s="4" t="s">
        <v>38</v>
      </c>
      <c r="D25" s="4" t="s">
        <v>69</v>
      </c>
      <c r="E25" s="2">
        <v>1985</v>
      </c>
      <c r="F25" s="2" t="s">
        <v>27</v>
      </c>
      <c r="G25" s="2">
        <v>8</v>
      </c>
      <c r="H25" s="2" t="s">
        <v>2</v>
      </c>
      <c r="I25" s="2" t="str">
        <f>LOOKUP(G25,{1,3,6,9,12},{"Winter","Spring","Summer","Autumn","Winter"})</f>
        <v>Summer</v>
      </c>
      <c r="J25" s="2" t="s">
        <v>292</v>
      </c>
      <c r="K25" s="2">
        <f t="shared" si="0"/>
        <v>1980</v>
      </c>
    </row>
    <row r="26" spans="1:11" ht="25" customHeight="1">
      <c r="A26" s="2">
        <v>1</v>
      </c>
      <c r="B26" s="2" t="s">
        <v>20</v>
      </c>
      <c r="C26" s="4" t="s">
        <v>21</v>
      </c>
      <c r="D26" s="4" t="s">
        <v>70</v>
      </c>
      <c r="E26" s="2">
        <v>1986</v>
      </c>
      <c r="F26" s="2" t="s">
        <v>40</v>
      </c>
      <c r="G26" s="2">
        <v>10</v>
      </c>
      <c r="H26" s="2" t="s">
        <v>3</v>
      </c>
      <c r="I26" s="2" t="str">
        <f>LOOKUP(G26,{1,3,6,9,12},{"Winter","Spring","Summer","Autumn","Winter"})</f>
        <v>Autumn</v>
      </c>
      <c r="J26" s="2" t="s">
        <v>293</v>
      </c>
      <c r="K26" s="2">
        <f t="shared" si="0"/>
        <v>1980</v>
      </c>
    </row>
    <row r="27" spans="1:11" ht="25" customHeight="1">
      <c r="A27" s="2">
        <v>1</v>
      </c>
      <c r="B27" s="2" t="s">
        <v>20</v>
      </c>
      <c r="C27" s="4" t="s">
        <v>21</v>
      </c>
      <c r="D27" s="4" t="s">
        <v>71</v>
      </c>
      <c r="E27" s="2">
        <v>1986</v>
      </c>
      <c r="F27" s="2" t="s">
        <v>40</v>
      </c>
      <c r="G27" s="2">
        <v>10</v>
      </c>
      <c r="H27" s="2" t="s">
        <v>3</v>
      </c>
      <c r="I27" s="2" t="str">
        <f>LOOKUP(G27,{1,3,6,9,12},{"Winter","Spring","Summer","Autumn","Winter"})</f>
        <v>Autumn</v>
      </c>
      <c r="J27" s="2" t="s">
        <v>293</v>
      </c>
      <c r="K27" s="2">
        <f t="shared" si="0"/>
        <v>1980</v>
      </c>
    </row>
    <row r="28" spans="1:11" ht="25" customHeight="1">
      <c r="A28" s="2">
        <v>2</v>
      </c>
      <c r="B28" s="2" t="s">
        <v>28</v>
      </c>
      <c r="C28" s="4" t="s">
        <v>72</v>
      </c>
      <c r="D28" s="4" t="s">
        <v>73</v>
      </c>
      <c r="E28" s="2">
        <v>1986</v>
      </c>
      <c r="F28" s="2" t="s">
        <v>74</v>
      </c>
      <c r="G28" s="2">
        <v>11</v>
      </c>
      <c r="H28" s="2" t="s">
        <v>7</v>
      </c>
      <c r="I28" s="2" t="str">
        <f>LOOKUP(G28,{1,3,6,9,12},{"Winter","Spring","Summer","Autumn","Winter"})</f>
        <v>Autumn</v>
      </c>
      <c r="J28" s="2" t="s">
        <v>293</v>
      </c>
      <c r="K28" s="2">
        <f t="shared" si="0"/>
        <v>1980</v>
      </c>
    </row>
    <row r="29" spans="1:11" ht="25" customHeight="1">
      <c r="A29" s="2">
        <v>1</v>
      </c>
      <c r="B29" s="2" t="s">
        <v>20</v>
      </c>
      <c r="C29" s="4" t="s">
        <v>21</v>
      </c>
      <c r="D29" s="4" t="s">
        <v>75</v>
      </c>
      <c r="E29" s="2">
        <v>1987</v>
      </c>
      <c r="F29" s="2" t="s">
        <v>43</v>
      </c>
      <c r="G29" s="2">
        <v>2</v>
      </c>
      <c r="H29" s="2" t="s">
        <v>4</v>
      </c>
      <c r="I29" s="2" t="str">
        <f>LOOKUP(G29,{1,3,6,9,12},{"Winter","Spring","Summer","Autumn","Winter"})</f>
        <v>Winter</v>
      </c>
      <c r="J29" s="2" t="s">
        <v>294</v>
      </c>
      <c r="K29" s="2">
        <f t="shared" si="0"/>
        <v>1980</v>
      </c>
    </row>
    <row r="30" spans="1:11" ht="25" customHeight="1">
      <c r="A30" s="2">
        <v>1</v>
      </c>
      <c r="B30" s="2" t="s">
        <v>20</v>
      </c>
      <c r="C30" s="4" t="s">
        <v>21</v>
      </c>
      <c r="D30" s="4" t="s">
        <v>76</v>
      </c>
      <c r="E30" s="2">
        <v>1987</v>
      </c>
      <c r="F30" s="2" t="s">
        <v>27</v>
      </c>
      <c r="G30" s="2">
        <v>8</v>
      </c>
      <c r="H30" s="2" t="s">
        <v>2</v>
      </c>
      <c r="I30" s="2" t="str">
        <f>LOOKUP(G30,{1,3,6,9,12},{"Winter","Spring","Summer","Autumn","Winter"})</f>
        <v>Summer</v>
      </c>
      <c r="J30" s="2" t="s">
        <v>292</v>
      </c>
      <c r="K30" s="2">
        <f t="shared" si="0"/>
        <v>1980</v>
      </c>
    </row>
    <row r="31" spans="1:11" ht="25" customHeight="1">
      <c r="A31" s="2">
        <v>1</v>
      </c>
      <c r="B31" s="2" t="s">
        <v>20</v>
      </c>
      <c r="C31" s="4" t="s">
        <v>21</v>
      </c>
      <c r="D31" s="4" t="s">
        <v>77</v>
      </c>
      <c r="E31" s="2">
        <v>1988</v>
      </c>
      <c r="F31" s="2" t="s">
        <v>78</v>
      </c>
      <c r="G31" s="2">
        <v>6</v>
      </c>
      <c r="H31" s="2" t="s">
        <v>8</v>
      </c>
      <c r="I31" s="2" t="str">
        <f>LOOKUP(G31,{1,3,6,9,12},{"Winter","Spring","Summer","Autumn","Winter"})</f>
        <v>Summer</v>
      </c>
      <c r="J31" s="2" t="s">
        <v>292</v>
      </c>
      <c r="K31" s="2">
        <f t="shared" si="0"/>
        <v>1980</v>
      </c>
    </row>
    <row r="32" spans="1:11" ht="25" customHeight="1">
      <c r="A32" s="2">
        <v>1</v>
      </c>
      <c r="B32" s="2" t="s">
        <v>28</v>
      </c>
      <c r="C32" s="4" t="s">
        <v>72</v>
      </c>
      <c r="D32" s="4" t="s">
        <v>79</v>
      </c>
      <c r="E32" s="2">
        <v>1989</v>
      </c>
      <c r="F32" s="2" t="s">
        <v>63</v>
      </c>
      <c r="G32" s="2">
        <v>1</v>
      </c>
      <c r="H32" s="2" t="s">
        <v>6</v>
      </c>
      <c r="I32" s="2" t="str">
        <f>LOOKUP(G32,{1,3,6,9,12},{"Winter","Spring","Summer","Autumn","Winter"})</f>
        <v>Winter</v>
      </c>
      <c r="J32" s="2" t="s">
        <v>294</v>
      </c>
      <c r="K32" s="2">
        <f t="shared" si="0"/>
        <v>1980</v>
      </c>
    </row>
    <row r="33" spans="1:11" ht="25" customHeight="1">
      <c r="A33" s="2">
        <v>1</v>
      </c>
      <c r="B33" s="2" t="s">
        <v>80</v>
      </c>
      <c r="C33" s="4" t="s">
        <v>81</v>
      </c>
      <c r="D33" s="4" t="s">
        <v>82</v>
      </c>
      <c r="E33" s="2">
        <v>1989</v>
      </c>
      <c r="F33" s="2" t="s">
        <v>83</v>
      </c>
      <c r="G33" s="2">
        <v>12</v>
      </c>
      <c r="H33" s="2" t="s">
        <v>9</v>
      </c>
      <c r="I33" s="2" t="str">
        <f>LOOKUP(G33,{1,3,6,9,12},{"Winter","Spring","Summer","Autumn","Winter"})</f>
        <v>Winter</v>
      </c>
      <c r="J33" s="2" t="s">
        <v>294</v>
      </c>
      <c r="K33" s="2">
        <f t="shared" si="0"/>
        <v>1980</v>
      </c>
    </row>
    <row r="34" spans="1:11" ht="25" customHeight="1">
      <c r="A34" s="2">
        <v>1</v>
      </c>
      <c r="B34" s="2" t="s">
        <v>20</v>
      </c>
      <c r="C34" s="4" t="s">
        <v>21</v>
      </c>
      <c r="D34" s="4" t="s">
        <v>84</v>
      </c>
      <c r="E34" s="2">
        <v>1992</v>
      </c>
      <c r="F34" s="2" t="s">
        <v>43</v>
      </c>
      <c r="G34" s="2">
        <v>2</v>
      </c>
      <c r="H34" s="2" t="s">
        <v>4</v>
      </c>
      <c r="I34" s="2" t="str">
        <f>LOOKUP(G34,{1,3,6,9,12},{"Winter","Spring","Summer","Autumn","Winter"})</f>
        <v>Winter</v>
      </c>
      <c r="J34" s="2" t="s">
        <v>294</v>
      </c>
      <c r="K34" s="2">
        <f t="shared" si="0"/>
        <v>1990</v>
      </c>
    </row>
    <row r="35" spans="1:11" ht="25" customHeight="1">
      <c r="A35" s="2">
        <v>1</v>
      </c>
      <c r="B35" s="2" t="s">
        <v>20</v>
      </c>
      <c r="C35" s="4" t="s">
        <v>21</v>
      </c>
      <c r="D35" s="4" t="s">
        <v>85</v>
      </c>
      <c r="E35" s="2">
        <v>1993</v>
      </c>
      <c r="F35" s="2" t="s">
        <v>86</v>
      </c>
      <c r="G35" s="2">
        <v>3</v>
      </c>
      <c r="H35" s="2" t="s">
        <v>10</v>
      </c>
      <c r="I35" s="2" t="str">
        <f>LOOKUP(G35,{1,3,6,9,12},{"Winter","Spring","Summer","Autumn","Winter"})</f>
        <v>Spring</v>
      </c>
      <c r="J35" s="2" t="s">
        <v>291</v>
      </c>
      <c r="K35" s="2">
        <f t="shared" si="0"/>
        <v>1990</v>
      </c>
    </row>
    <row r="36" spans="1:11" ht="25" customHeight="1">
      <c r="A36" s="2">
        <v>1</v>
      </c>
      <c r="B36" s="2" t="s">
        <v>20</v>
      </c>
      <c r="C36" s="4" t="s">
        <v>21</v>
      </c>
      <c r="D36" s="4" t="s">
        <v>87</v>
      </c>
      <c r="E36" s="2">
        <v>1993</v>
      </c>
      <c r="F36" s="2" t="s">
        <v>86</v>
      </c>
      <c r="G36" s="2">
        <v>3</v>
      </c>
      <c r="H36" s="2" t="s">
        <v>10</v>
      </c>
      <c r="I36" s="2" t="str">
        <f>LOOKUP(G36,{1,3,6,9,12},{"Winter","Spring","Summer","Autumn","Winter"})</f>
        <v>Spring</v>
      </c>
      <c r="J36" s="2" t="s">
        <v>291</v>
      </c>
      <c r="K36" s="2">
        <f t="shared" si="0"/>
        <v>1990</v>
      </c>
    </row>
    <row r="37" spans="1:11" ht="25" customHeight="1">
      <c r="A37" s="2">
        <v>1</v>
      </c>
      <c r="B37" s="2" t="s">
        <v>28</v>
      </c>
      <c r="C37" s="4" t="s">
        <v>88</v>
      </c>
      <c r="D37" s="4" t="s">
        <v>89</v>
      </c>
      <c r="E37" s="2">
        <v>1994</v>
      </c>
      <c r="F37" s="2" t="s">
        <v>86</v>
      </c>
      <c r="G37" s="2">
        <v>3</v>
      </c>
      <c r="H37" s="2" t="s">
        <v>10</v>
      </c>
      <c r="I37" s="2" t="str">
        <f>LOOKUP(G37,{1,3,6,9,12},{"Winter","Spring","Summer","Autumn","Winter"})</f>
        <v>Spring</v>
      </c>
      <c r="J37" s="2" t="s">
        <v>291</v>
      </c>
      <c r="K37" s="2">
        <f t="shared" si="0"/>
        <v>1990</v>
      </c>
    </row>
    <row r="38" spans="1:11" ht="25" customHeight="1">
      <c r="A38" s="2">
        <v>2</v>
      </c>
      <c r="B38" s="2" t="s">
        <v>20</v>
      </c>
      <c r="C38" s="4" t="s">
        <v>21</v>
      </c>
      <c r="D38" s="4" t="s">
        <v>90</v>
      </c>
      <c r="E38" s="2">
        <v>1994</v>
      </c>
      <c r="F38" s="2" t="s">
        <v>40</v>
      </c>
      <c r="G38" s="2">
        <v>10</v>
      </c>
      <c r="H38" s="2" t="s">
        <v>3</v>
      </c>
      <c r="I38" s="2" t="str">
        <f>LOOKUP(G38,{1,3,6,9,12},{"Winter","Spring","Summer","Autumn","Winter"})</f>
        <v>Autumn</v>
      </c>
      <c r="J38" s="2" t="s">
        <v>293</v>
      </c>
      <c r="K38" s="2">
        <f t="shared" si="0"/>
        <v>1990</v>
      </c>
    </row>
    <row r="39" spans="1:11" ht="25" customHeight="1">
      <c r="A39" s="2">
        <v>2</v>
      </c>
      <c r="B39" s="2" t="s">
        <v>20</v>
      </c>
      <c r="C39" s="4" t="s">
        <v>21</v>
      </c>
      <c r="D39" s="4" t="s">
        <v>91</v>
      </c>
      <c r="E39" s="2">
        <v>1994</v>
      </c>
      <c r="F39" s="2" t="s">
        <v>74</v>
      </c>
      <c r="G39" s="2">
        <v>11</v>
      </c>
      <c r="H39" s="2" t="s">
        <v>7</v>
      </c>
      <c r="I39" s="2" t="str">
        <f>LOOKUP(G39,{1,3,6,9,12},{"Winter","Spring","Summer","Autumn","Winter"})</f>
        <v>Autumn</v>
      </c>
      <c r="J39" s="2" t="s">
        <v>293</v>
      </c>
      <c r="K39" s="2">
        <f t="shared" si="0"/>
        <v>1990</v>
      </c>
    </row>
    <row r="40" spans="1:11" ht="25" customHeight="1">
      <c r="A40" s="2">
        <v>3</v>
      </c>
      <c r="B40" s="2" t="s">
        <v>20</v>
      </c>
      <c r="C40" s="4" t="s">
        <v>21</v>
      </c>
      <c r="D40" s="4" t="s">
        <v>92</v>
      </c>
      <c r="E40" s="2">
        <v>1994</v>
      </c>
      <c r="F40" s="2" t="s">
        <v>83</v>
      </c>
      <c r="G40" s="2">
        <v>12</v>
      </c>
      <c r="H40" s="2" t="s">
        <v>9</v>
      </c>
      <c r="I40" s="2" t="str">
        <f>LOOKUP(G40,{1,3,6,9,12},{"Winter","Spring","Summer","Autumn","Winter"})</f>
        <v>Winter</v>
      </c>
      <c r="J40" s="2" t="s">
        <v>294</v>
      </c>
      <c r="K40" s="2">
        <f t="shared" si="0"/>
        <v>1990</v>
      </c>
    </row>
    <row r="41" spans="1:11" ht="25" customHeight="1">
      <c r="A41" s="2">
        <v>1</v>
      </c>
      <c r="B41" s="2" t="s">
        <v>20</v>
      </c>
      <c r="C41" s="4" t="s">
        <v>21</v>
      </c>
      <c r="D41" s="4" t="s">
        <v>93</v>
      </c>
      <c r="E41" s="2">
        <v>1995</v>
      </c>
      <c r="F41" s="2" t="s">
        <v>63</v>
      </c>
      <c r="G41" s="2">
        <v>1</v>
      </c>
      <c r="H41" s="2" t="s">
        <v>6</v>
      </c>
      <c r="I41" s="2" t="str">
        <f>LOOKUP(G41,{1,3,6,9,12},{"Winter","Spring","Summer","Autumn","Winter"})</f>
        <v>Winter</v>
      </c>
      <c r="J41" s="2" t="s">
        <v>294</v>
      </c>
      <c r="K41" s="2">
        <f t="shared" si="0"/>
        <v>1990</v>
      </c>
    </row>
    <row r="42" spans="1:11" ht="25" customHeight="1">
      <c r="A42" s="2">
        <v>6</v>
      </c>
      <c r="B42" s="2" t="s">
        <v>20</v>
      </c>
      <c r="C42" s="4" t="s">
        <v>21</v>
      </c>
      <c r="D42" s="4" t="s">
        <v>94</v>
      </c>
      <c r="E42" s="2">
        <v>1995</v>
      </c>
      <c r="F42" s="2" t="s">
        <v>43</v>
      </c>
      <c r="G42" s="2">
        <v>2</v>
      </c>
      <c r="H42" s="2" t="s">
        <v>4</v>
      </c>
      <c r="I42" s="2" t="str">
        <f>LOOKUP(G42,{1,3,6,9,12},{"Winter","Spring","Summer","Autumn","Winter"})</f>
        <v>Winter</v>
      </c>
      <c r="J42" s="2" t="s">
        <v>294</v>
      </c>
      <c r="K42" s="2">
        <f t="shared" si="0"/>
        <v>1990</v>
      </c>
    </row>
    <row r="43" spans="1:11" ht="25" customHeight="1">
      <c r="A43" s="2">
        <v>1</v>
      </c>
      <c r="B43" s="2" t="s">
        <v>20</v>
      </c>
      <c r="C43" s="4" t="s">
        <v>21</v>
      </c>
      <c r="D43" s="4" t="s">
        <v>95</v>
      </c>
      <c r="E43" s="2">
        <v>1995</v>
      </c>
      <c r="F43" s="2" t="s">
        <v>43</v>
      </c>
      <c r="G43" s="2">
        <v>2</v>
      </c>
      <c r="H43" s="2" t="s">
        <v>4</v>
      </c>
      <c r="I43" s="2" t="str">
        <f>LOOKUP(G43,{1,3,6,9,12},{"Winter","Spring","Summer","Autumn","Winter"})</f>
        <v>Winter</v>
      </c>
      <c r="J43" s="2" t="s">
        <v>294</v>
      </c>
      <c r="K43" s="2">
        <f t="shared" si="0"/>
        <v>1990</v>
      </c>
    </row>
    <row r="44" spans="1:11" ht="25" customHeight="1">
      <c r="A44" s="2">
        <v>1</v>
      </c>
      <c r="B44" s="2" t="s">
        <v>20</v>
      </c>
      <c r="C44" s="4" t="s">
        <v>21</v>
      </c>
      <c r="D44" s="4" t="s">
        <v>96</v>
      </c>
      <c r="E44" s="2">
        <v>1995</v>
      </c>
      <c r="F44" s="2" t="s">
        <v>43</v>
      </c>
      <c r="G44" s="2">
        <v>2</v>
      </c>
      <c r="H44" s="2" t="s">
        <v>4</v>
      </c>
      <c r="I44" s="2" t="str">
        <f>LOOKUP(G44,{1,3,6,9,12},{"Winter","Spring","Summer","Autumn","Winter"})</f>
        <v>Winter</v>
      </c>
      <c r="J44" s="2" t="s">
        <v>294</v>
      </c>
      <c r="K44" s="2">
        <f t="shared" si="0"/>
        <v>1990</v>
      </c>
    </row>
    <row r="45" spans="1:11" ht="25" customHeight="1">
      <c r="A45" s="2">
        <v>2</v>
      </c>
      <c r="B45" s="2" t="s">
        <v>20</v>
      </c>
      <c r="C45" s="4" t="s">
        <v>21</v>
      </c>
      <c r="D45" s="4" t="s">
        <v>97</v>
      </c>
      <c r="E45" s="2">
        <v>1995</v>
      </c>
      <c r="F45" s="2" t="s">
        <v>43</v>
      </c>
      <c r="G45" s="2">
        <v>2</v>
      </c>
      <c r="H45" s="2" t="s">
        <v>4</v>
      </c>
      <c r="I45" s="2" t="str">
        <f>LOOKUP(G45,{1,3,6,9,12},{"Winter","Spring","Summer","Autumn","Winter"})</f>
        <v>Winter</v>
      </c>
      <c r="J45" s="2" t="s">
        <v>294</v>
      </c>
      <c r="K45" s="2">
        <f t="shared" si="0"/>
        <v>1990</v>
      </c>
    </row>
    <row r="46" spans="1:11" ht="25" customHeight="1">
      <c r="A46" s="2">
        <v>1</v>
      </c>
      <c r="B46" s="2" t="s">
        <v>28</v>
      </c>
      <c r="C46" s="4" t="s">
        <v>98</v>
      </c>
      <c r="D46" s="4" t="s">
        <v>99</v>
      </c>
      <c r="E46" s="2">
        <v>1995</v>
      </c>
      <c r="F46" s="2" t="s">
        <v>86</v>
      </c>
      <c r="G46" s="2">
        <v>3</v>
      </c>
      <c r="H46" s="2" t="s">
        <v>10</v>
      </c>
      <c r="I46" s="2" t="str">
        <f>LOOKUP(G46,{1,3,6,9,12},{"Winter","Spring","Summer","Autumn","Winter"})</f>
        <v>Spring</v>
      </c>
      <c r="J46" s="2" t="s">
        <v>291</v>
      </c>
      <c r="K46" s="2">
        <f t="shared" si="0"/>
        <v>1990</v>
      </c>
    </row>
    <row r="47" spans="1:11" ht="25" customHeight="1">
      <c r="A47" s="2">
        <v>1</v>
      </c>
      <c r="B47" s="2" t="s">
        <v>20</v>
      </c>
      <c r="C47" s="4" t="s">
        <v>21</v>
      </c>
      <c r="D47" s="4" t="s">
        <v>100</v>
      </c>
      <c r="E47" s="2">
        <v>1995</v>
      </c>
      <c r="F47" s="2" t="s">
        <v>25</v>
      </c>
      <c r="G47" s="2">
        <v>9</v>
      </c>
      <c r="H47" s="2" t="s">
        <v>1</v>
      </c>
      <c r="I47" s="2" t="str">
        <f>LOOKUP(G47,{1,3,6,9,12},{"Winter","Spring","Summer","Autumn","Winter"})</f>
        <v>Autumn</v>
      </c>
      <c r="J47" s="2" t="s">
        <v>293</v>
      </c>
      <c r="K47" s="2">
        <f t="shared" si="0"/>
        <v>1990</v>
      </c>
    </row>
    <row r="48" spans="1:11" ht="25" customHeight="1">
      <c r="A48" s="2">
        <v>1</v>
      </c>
      <c r="B48" s="2" t="s">
        <v>20</v>
      </c>
      <c r="C48" s="4" t="s">
        <v>21</v>
      </c>
      <c r="D48" s="4" t="s">
        <v>101</v>
      </c>
      <c r="E48" s="2">
        <v>1995</v>
      </c>
      <c r="F48" s="2" t="s">
        <v>40</v>
      </c>
      <c r="G48" s="2">
        <v>10</v>
      </c>
      <c r="H48" s="2" t="s">
        <v>3</v>
      </c>
      <c r="I48" s="2" t="str">
        <f>LOOKUP(G48,{1,3,6,9,12},{"Winter","Spring","Summer","Autumn","Winter"})</f>
        <v>Autumn</v>
      </c>
      <c r="J48" s="2" t="s">
        <v>293</v>
      </c>
      <c r="K48" s="2">
        <f t="shared" si="0"/>
        <v>1990</v>
      </c>
    </row>
    <row r="49" spans="1:11" ht="25" customHeight="1">
      <c r="A49" s="2">
        <v>2</v>
      </c>
      <c r="B49" s="2" t="s">
        <v>20</v>
      </c>
      <c r="C49" s="4" t="s">
        <v>21</v>
      </c>
      <c r="D49" s="4" t="s">
        <v>102</v>
      </c>
      <c r="E49" s="2">
        <v>1995</v>
      </c>
      <c r="F49" s="2" t="s">
        <v>74</v>
      </c>
      <c r="G49" s="2">
        <v>11</v>
      </c>
      <c r="H49" s="2" t="s">
        <v>7</v>
      </c>
      <c r="I49" s="2" t="str">
        <f>LOOKUP(G49,{1,3,6,9,12},{"Winter","Spring","Summer","Autumn","Winter"})</f>
        <v>Autumn</v>
      </c>
      <c r="J49" s="2" t="s">
        <v>293</v>
      </c>
      <c r="K49" s="2">
        <f t="shared" si="0"/>
        <v>1990</v>
      </c>
    </row>
    <row r="50" spans="1:11" ht="25" customHeight="1">
      <c r="A50" s="2">
        <v>1</v>
      </c>
      <c r="B50" s="2" t="s">
        <v>28</v>
      </c>
      <c r="C50" s="4" t="s">
        <v>98</v>
      </c>
      <c r="D50" s="4" t="s">
        <v>103</v>
      </c>
      <c r="E50" s="2">
        <v>1995</v>
      </c>
      <c r="F50" s="2" t="s">
        <v>74</v>
      </c>
      <c r="G50" s="2">
        <v>11</v>
      </c>
      <c r="H50" s="2" t="s">
        <v>7</v>
      </c>
      <c r="I50" s="2" t="str">
        <f>LOOKUP(G50,{1,3,6,9,12},{"Winter","Spring","Summer","Autumn","Winter"})</f>
        <v>Autumn</v>
      </c>
      <c r="J50" s="2" t="s">
        <v>293</v>
      </c>
      <c r="K50" s="2">
        <f t="shared" si="0"/>
        <v>1990</v>
      </c>
    </row>
    <row r="51" spans="1:11" ht="25" customHeight="1">
      <c r="A51" s="2">
        <v>2</v>
      </c>
      <c r="B51" s="2" t="s">
        <v>28</v>
      </c>
      <c r="C51" s="4" t="s">
        <v>104</v>
      </c>
      <c r="D51" s="4" t="s">
        <v>105</v>
      </c>
      <c r="E51" s="2">
        <v>1995</v>
      </c>
      <c r="F51" s="2" t="s">
        <v>74</v>
      </c>
      <c r="G51" s="2">
        <v>11</v>
      </c>
      <c r="H51" s="2" t="s">
        <v>7</v>
      </c>
      <c r="I51" s="2" t="str">
        <f>LOOKUP(G51,{1,3,6,9,12},{"Winter","Spring","Summer","Autumn","Winter"})</f>
        <v>Autumn</v>
      </c>
      <c r="J51" s="2" t="s">
        <v>293</v>
      </c>
      <c r="K51" s="2">
        <f t="shared" si="0"/>
        <v>1990</v>
      </c>
    </row>
    <row r="52" spans="1:11" ht="25" customHeight="1">
      <c r="A52" s="2">
        <v>3</v>
      </c>
      <c r="B52" s="2" t="s">
        <v>20</v>
      </c>
      <c r="C52" s="4" t="s">
        <v>21</v>
      </c>
      <c r="D52" s="4" t="s">
        <v>106</v>
      </c>
      <c r="E52" s="2">
        <v>1995</v>
      </c>
      <c r="F52" s="2" t="s">
        <v>74</v>
      </c>
      <c r="G52" s="2">
        <v>11</v>
      </c>
      <c r="H52" s="2" t="s">
        <v>7</v>
      </c>
      <c r="I52" s="2" t="str">
        <f>LOOKUP(G52,{1,3,6,9,12},{"Winter","Spring","Summer","Autumn","Winter"})</f>
        <v>Autumn</v>
      </c>
      <c r="J52" s="2" t="s">
        <v>293</v>
      </c>
      <c r="K52" s="2">
        <f t="shared" si="0"/>
        <v>1990</v>
      </c>
    </row>
    <row r="53" spans="1:11" ht="25" customHeight="1">
      <c r="A53" s="2">
        <v>1</v>
      </c>
      <c r="B53" s="2" t="s">
        <v>20</v>
      </c>
      <c r="C53" s="4" t="s">
        <v>21</v>
      </c>
      <c r="D53" s="4" t="s">
        <v>107</v>
      </c>
      <c r="E53" s="2">
        <v>1995</v>
      </c>
      <c r="F53" s="2" t="s">
        <v>74</v>
      </c>
      <c r="G53" s="2">
        <v>11</v>
      </c>
      <c r="H53" s="2" t="s">
        <v>7</v>
      </c>
      <c r="I53" s="2" t="str">
        <f>LOOKUP(G53,{1,3,6,9,12},{"Winter","Spring","Summer","Autumn","Winter"})</f>
        <v>Autumn</v>
      </c>
      <c r="J53" s="2" t="s">
        <v>293</v>
      </c>
      <c r="K53" s="2">
        <f t="shared" si="0"/>
        <v>1990</v>
      </c>
    </row>
    <row r="54" spans="1:11" ht="25" customHeight="1">
      <c r="A54" s="2">
        <v>2</v>
      </c>
      <c r="B54" s="2" t="s">
        <v>20</v>
      </c>
      <c r="C54" s="4" t="s">
        <v>21</v>
      </c>
      <c r="D54" s="4" t="s">
        <v>108</v>
      </c>
      <c r="E54" s="2">
        <v>1995</v>
      </c>
      <c r="F54" s="2" t="s">
        <v>74</v>
      </c>
      <c r="G54" s="2">
        <v>11</v>
      </c>
      <c r="H54" s="2" t="s">
        <v>7</v>
      </c>
      <c r="I54" s="2" t="str">
        <f>LOOKUP(G54,{1,3,6,9,12},{"Winter","Spring","Summer","Autumn","Winter"})</f>
        <v>Autumn</v>
      </c>
      <c r="J54" s="2" t="s">
        <v>293</v>
      </c>
      <c r="K54" s="2">
        <f t="shared" si="0"/>
        <v>1990</v>
      </c>
    </row>
    <row r="55" spans="1:11" ht="25" customHeight="1">
      <c r="A55" s="2">
        <v>5</v>
      </c>
      <c r="B55" s="2" t="s">
        <v>20</v>
      </c>
      <c r="C55" s="4" t="s">
        <v>21</v>
      </c>
      <c r="D55" s="4" t="s">
        <v>109</v>
      </c>
      <c r="E55" s="2">
        <v>1995</v>
      </c>
      <c r="F55" s="2" t="s">
        <v>74</v>
      </c>
      <c r="G55" s="2">
        <v>11</v>
      </c>
      <c r="H55" s="2" t="s">
        <v>7</v>
      </c>
      <c r="I55" s="2" t="str">
        <f>LOOKUP(G55,{1,3,6,9,12},{"Winter","Spring","Summer","Autumn","Winter"})</f>
        <v>Autumn</v>
      </c>
      <c r="J55" s="2" t="s">
        <v>293</v>
      </c>
      <c r="K55" s="2">
        <f t="shared" si="0"/>
        <v>1990</v>
      </c>
    </row>
    <row r="56" spans="1:11" ht="25" customHeight="1">
      <c r="A56" s="2">
        <v>1</v>
      </c>
      <c r="B56" s="2" t="s">
        <v>28</v>
      </c>
      <c r="C56" s="4" t="s">
        <v>88</v>
      </c>
      <c r="D56" s="4" t="s">
        <v>110</v>
      </c>
      <c r="E56" s="2">
        <v>1996</v>
      </c>
      <c r="F56" s="2" t="s">
        <v>86</v>
      </c>
      <c r="G56" s="2">
        <v>3</v>
      </c>
      <c r="H56" s="2" t="s">
        <v>10</v>
      </c>
      <c r="I56" s="2" t="str">
        <f>LOOKUP(G56,{1,3,6,9,12},{"Winter","Spring","Summer","Autumn","Winter"})</f>
        <v>Spring</v>
      </c>
      <c r="J56" s="2" t="s">
        <v>291</v>
      </c>
      <c r="K56" s="2">
        <f t="shared" si="0"/>
        <v>1990</v>
      </c>
    </row>
    <row r="57" spans="1:11" ht="25" customHeight="1">
      <c r="A57" s="2">
        <v>1</v>
      </c>
      <c r="B57" s="2" t="s">
        <v>20</v>
      </c>
      <c r="C57" s="4" t="s">
        <v>21</v>
      </c>
      <c r="D57" s="4" t="s">
        <v>111</v>
      </c>
      <c r="E57" s="2">
        <v>1996</v>
      </c>
      <c r="F57" s="2" t="s">
        <v>23</v>
      </c>
      <c r="G57" s="2">
        <v>4</v>
      </c>
      <c r="H57" s="2" t="s">
        <v>0</v>
      </c>
      <c r="I57" s="2" t="str">
        <f>LOOKUP(G57,{1,3,6,9,12},{"Winter","Spring","Summer","Autumn","Winter"})</f>
        <v>Spring</v>
      </c>
      <c r="J57" s="2" t="s">
        <v>291</v>
      </c>
      <c r="K57" s="2">
        <f t="shared" si="0"/>
        <v>1990</v>
      </c>
    </row>
    <row r="58" spans="1:11" ht="25" customHeight="1">
      <c r="A58" s="2">
        <v>1</v>
      </c>
      <c r="B58" s="2" t="s">
        <v>28</v>
      </c>
      <c r="C58" s="4" t="s">
        <v>51</v>
      </c>
      <c r="D58" s="4" t="s">
        <v>112</v>
      </c>
      <c r="E58" s="2">
        <v>1997</v>
      </c>
      <c r="F58" s="2" t="s">
        <v>86</v>
      </c>
      <c r="G58" s="2">
        <v>3</v>
      </c>
      <c r="H58" s="2" t="s">
        <v>10</v>
      </c>
      <c r="I58" s="2" t="str">
        <f>LOOKUP(G58,{1,3,6,9,12},{"Winter","Spring","Summer","Autumn","Winter"})</f>
        <v>Spring</v>
      </c>
      <c r="J58" s="2" t="s">
        <v>291</v>
      </c>
      <c r="K58" s="2">
        <f t="shared" si="0"/>
        <v>1990</v>
      </c>
    </row>
    <row r="59" spans="1:11" ht="25" customHeight="1">
      <c r="A59" s="2">
        <v>1</v>
      </c>
      <c r="B59" s="2" t="s">
        <v>28</v>
      </c>
      <c r="C59" s="4" t="s">
        <v>113</v>
      </c>
      <c r="D59" s="4" t="s">
        <v>114</v>
      </c>
      <c r="E59" s="2">
        <v>1998</v>
      </c>
      <c r="F59" s="2" t="s">
        <v>25</v>
      </c>
      <c r="G59" s="2">
        <v>9</v>
      </c>
      <c r="H59" s="2" t="s">
        <v>1</v>
      </c>
      <c r="I59" s="2" t="str">
        <f>LOOKUP(G59,{1,3,6,9,12},{"Winter","Spring","Summer","Autumn","Winter"})</f>
        <v>Autumn</v>
      </c>
      <c r="J59" s="2" t="s">
        <v>293</v>
      </c>
      <c r="K59" s="2">
        <f t="shared" si="0"/>
        <v>1990</v>
      </c>
    </row>
    <row r="60" spans="1:11" ht="25" customHeight="1">
      <c r="A60" s="2">
        <v>1</v>
      </c>
      <c r="B60" s="2" t="s">
        <v>28</v>
      </c>
      <c r="C60" s="4" t="s">
        <v>115</v>
      </c>
      <c r="D60" s="4" t="s">
        <v>116</v>
      </c>
      <c r="E60" s="2">
        <v>1999</v>
      </c>
      <c r="F60" s="2" t="s">
        <v>25</v>
      </c>
      <c r="G60" s="2">
        <v>9</v>
      </c>
      <c r="H60" s="2" t="s">
        <v>1</v>
      </c>
      <c r="I60" s="2" t="str">
        <f>LOOKUP(G60,{1,3,6,9,12},{"Winter","Spring","Summer","Autumn","Winter"})</f>
        <v>Autumn</v>
      </c>
      <c r="J60" s="2" t="s">
        <v>293</v>
      </c>
      <c r="K60" s="2">
        <f t="shared" si="0"/>
        <v>1990</v>
      </c>
    </row>
    <row r="61" spans="1:11" ht="25" customHeight="1">
      <c r="A61" s="2">
        <v>1</v>
      </c>
      <c r="B61" s="2" t="s">
        <v>28</v>
      </c>
      <c r="C61" s="4" t="s">
        <v>115</v>
      </c>
      <c r="D61" s="4" t="s">
        <v>117</v>
      </c>
      <c r="E61" s="2">
        <v>1999</v>
      </c>
      <c r="F61" s="2" t="s">
        <v>25</v>
      </c>
      <c r="G61" s="2">
        <v>9</v>
      </c>
      <c r="H61" s="2" t="s">
        <v>1</v>
      </c>
      <c r="I61" s="2" t="str">
        <f>LOOKUP(G61,{1,3,6,9,12},{"Winter","Spring","Summer","Autumn","Winter"})</f>
        <v>Autumn</v>
      </c>
      <c r="J61" s="2" t="s">
        <v>293</v>
      </c>
      <c r="K61" s="2">
        <f t="shared" si="0"/>
        <v>1990</v>
      </c>
    </row>
    <row r="62" spans="1:11" ht="25" customHeight="1">
      <c r="A62" s="2">
        <v>1</v>
      </c>
      <c r="B62" s="2" t="s">
        <v>80</v>
      </c>
      <c r="C62" s="4" t="s">
        <v>81</v>
      </c>
      <c r="D62" s="4" t="s">
        <v>118</v>
      </c>
      <c r="E62" s="2">
        <v>2002</v>
      </c>
      <c r="F62" s="2" t="s">
        <v>86</v>
      </c>
      <c r="G62" s="2">
        <v>3</v>
      </c>
      <c r="H62" s="2" t="s">
        <v>10</v>
      </c>
      <c r="I62" s="2" t="str">
        <f>LOOKUP(G62,{1,3,6,9,12},{"Winter","Spring","Summer","Autumn","Winter"})</f>
        <v>Spring</v>
      </c>
      <c r="J62" s="2" t="s">
        <v>291</v>
      </c>
      <c r="K62" s="2">
        <f t="shared" si="0"/>
        <v>2000</v>
      </c>
    </row>
    <row r="63" spans="1:11" ht="25" customHeight="1">
      <c r="A63" s="2">
        <v>1</v>
      </c>
      <c r="B63" s="2" t="s">
        <v>20</v>
      </c>
      <c r="C63" s="4" t="s">
        <v>21</v>
      </c>
      <c r="D63" s="4" t="s">
        <v>119</v>
      </c>
      <c r="E63" s="2">
        <v>2003</v>
      </c>
      <c r="F63" s="2" t="s">
        <v>23</v>
      </c>
      <c r="G63" s="2">
        <v>4</v>
      </c>
      <c r="H63" s="2" t="s">
        <v>0</v>
      </c>
      <c r="I63" s="2" t="str">
        <f>LOOKUP(G63,{1,3,6,9,12},{"Winter","Spring","Summer","Autumn","Winter"})</f>
        <v>Spring</v>
      </c>
      <c r="J63" s="2" t="s">
        <v>291</v>
      </c>
      <c r="K63" s="2">
        <f t="shared" si="0"/>
        <v>2000</v>
      </c>
    </row>
    <row r="64" spans="1:11" ht="25" customHeight="1">
      <c r="A64" s="2">
        <v>1</v>
      </c>
      <c r="B64" s="2" t="s">
        <v>20</v>
      </c>
      <c r="C64" s="4" t="s">
        <v>21</v>
      </c>
      <c r="D64" s="4" t="s">
        <v>120</v>
      </c>
      <c r="E64" s="2">
        <v>2003</v>
      </c>
      <c r="F64" s="2" t="s">
        <v>50</v>
      </c>
      <c r="G64" s="2">
        <v>5</v>
      </c>
      <c r="H64" s="2" t="s">
        <v>5</v>
      </c>
      <c r="I64" s="2" t="str">
        <f>LOOKUP(G64,{1,3,6,9,12},{"Winter","Spring","Summer","Autumn","Winter"})</f>
        <v>Spring</v>
      </c>
      <c r="J64" s="2" t="s">
        <v>291</v>
      </c>
      <c r="K64" s="2">
        <f t="shared" si="0"/>
        <v>2000</v>
      </c>
    </row>
    <row r="65" spans="1:11" ht="25" customHeight="1">
      <c r="A65" s="2">
        <v>2</v>
      </c>
      <c r="B65" s="2" t="s">
        <v>20</v>
      </c>
      <c r="C65" s="4" t="s">
        <v>21</v>
      </c>
      <c r="D65" s="4" t="s">
        <v>121</v>
      </c>
      <c r="E65" s="2">
        <v>2006</v>
      </c>
      <c r="F65" s="2" t="s">
        <v>43</v>
      </c>
      <c r="G65" s="2">
        <v>2</v>
      </c>
      <c r="H65" s="2" t="s">
        <v>4</v>
      </c>
      <c r="I65" s="2" t="str">
        <f>LOOKUP(G65,{1,3,6,9,12},{"Winter","Spring","Summer","Autumn","Winter"})</f>
        <v>Winter</v>
      </c>
      <c r="J65" s="2" t="s">
        <v>294</v>
      </c>
      <c r="K65" s="2">
        <f t="shared" si="0"/>
        <v>2000</v>
      </c>
    </row>
    <row r="66" spans="1:11" ht="25" customHeight="1">
      <c r="A66" s="2">
        <v>0</v>
      </c>
      <c r="B66" s="2" t="s">
        <v>122</v>
      </c>
      <c r="C66" s="4" t="s">
        <v>123</v>
      </c>
      <c r="D66" s="4" t="s">
        <v>124</v>
      </c>
      <c r="E66" s="2">
        <v>2006</v>
      </c>
      <c r="F66" s="2" t="s">
        <v>43</v>
      </c>
      <c r="G66" s="2">
        <v>2</v>
      </c>
      <c r="H66" s="2" t="s">
        <v>4</v>
      </c>
      <c r="I66" s="2" t="str">
        <f>LOOKUP(G66,{1,3,6,9,12},{"Winter","Spring","Summer","Autumn","Winter"})</f>
        <v>Winter</v>
      </c>
      <c r="J66" s="2" t="s">
        <v>294</v>
      </c>
      <c r="K66" s="2">
        <f t="shared" si="0"/>
        <v>2000</v>
      </c>
    </row>
    <row r="67" spans="1:11" ht="25" customHeight="1">
      <c r="A67" s="2">
        <v>1</v>
      </c>
      <c r="B67" s="2" t="s">
        <v>28</v>
      </c>
      <c r="C67" s="4" t="s">
        <v>113</v>
      </c>
      <c r="D67" s="4" t="s">
        <v>125</v>
      </c>
      <c r="E67" s="2">
        <v>2006</v>
      </c>
      <c r="F67" s="2" t="s">
        <v>86</v>
      </c>
      <c r="G67" s="2">
        <v>3</v>
      </c>
      <c r="H67" s="2" t="s">
        <v>10</v>
      </c>
      <c r="I67" s="2" t="str">
        <f>LOOKUP(G67,{1,3,6,9,12},{"Winter","Spring","Summer","Autumn","Winter"})</f>
        <v>Spring</v>
      </c>
      <c r="J67" s="2" t="s">
        <v>291</v>
      </c>
      <c r="K67" s="2">
        <f t="shared" ref="K67:K130" si="1">ROUNDDOWN(E67/10,0)*10</f>
        <v>2000</v>
      </c>
    </row>
    <row r="68" spans="1:11" ht="25" customHeight="1">
      <c r="A68" s="2">
        <v>1</v>
      </c>
      <c r="B68" s="2" t="s">
        <v>28</v>
      </c>
      <c r="C68" s="4" t="s">
        <v>88</v>
      </c>
      <c r="D68" s="4" t="s">
        <v>126</v>
      </c>
      <c r="E68" s="2">
        <v>2006</v>
      </c>
      <c r="F68" s="2" t="s">
        <v>86</v>
      </c>
      <c r="G68" s="2">
        <v>3</v>
      </c>
      <c r="H68" s="2" t="s">
        <v>10</v>
      </c>
      <c r="I68" s="2" t="str">
        <f>LOOKUP(G68,{1,3,6,9,12},{"Winter","Spring","Summer","Autumn","Winter"})</f>
        <v>Spring</v>
      </c>
      <c r="J68" s="2" t="s">
        <v>291</v>
      </c>
      <c r="K68" s="2">
        <f t="shared" si="1"/>
        <v>2000</v>
      </c>
    </row>
    <row r="69" spans="1:11" ht="25" customHeight="1">
      <c r="A69" s="2">
        <v>1</v>
      </c>
      <c r="B69" s="2" t="s">
        <v>20</v>
      </c>
      <c r="C69" s="4" t="s">
        <v>21</v>
      </c>
      <c r="D69" s="4" t="s">
        <v>127</v>
      </c>
      <c r="E69" s="2">
        <v>2006</v>
      </c>
      <c r="F69" s="2" t="s">
        <v>78</v>
      </c>
      <c r="G69" s="2">
        <v>6</v>
      </c>
      <c r="H69" s="2" t="s">
        <v>8</v>
      </c>
      <c r="I69" s="2" t="str">
        <f>LOOKUP(G69,{1,3,6,9,12},{"Winter","Spring","Summer","Autumn","Winter"})</f>
        <v>Summer</v>
      </c>
      <c r="J69" s="2" t="s">
        <v>292</v>
      </c>
      <c r="K69" s="2">
        <f t="shared" si="1"/>
        <v>2000</v>
      </c>
    </row>
    <row r="70" spans="1:11" ht="25" customHeight="1">
      <c r="A70" s="2">
        <v>1</v>
      </c>
      <c r="B70" s="2" t="s">
        <v>37</v>
      </c>
      <c r="C70" s="4" t="s">
        <v>38</v>
      </c>
      <c r="D70" s="4" t="s">
        <v>128</v>
      </c>
      <c r="E70" s="2">
        <v>2006</v>
      </c>
      <c r="F70" s="2" t="s">
        <v>83</v>
      </c>
      <c r="G70" s="2">
        <v>12</v>
      </c>
      <c r="H70" s="2" t="s">
        <v>9</v>
      </c>
      <c r="I70" s="2" t="str">
        <f>LOOKUP(G70,{1,3,6,9,12},{"Winter","Spring","Summer","Autumn","Winter"})</f>
        <v>Winter</v>
      </c>
      <c r="J70" s="2" t="s">
        <v>294</v>
      </c>
      <c r="K70" s="2">
        <f t="shared" si="1"/>
        <v>2000</v>
      </c>
    </row>
    <row r="71" spans="1:11" ht="25" customHeight="1">
      <c r="A71" s="2">
        <v>1</v>
      </c>
      <c r="B71" s="2" t="s">
        <v>20</v>
      </c>
      <c r="C71" s="4" t="s">
        <v>21</v>
      </c>
      <c r="D71" s="4" t="s">
        <v>129</v>
      </c>
      <c r="E71" s="2">
        <v>2007</v>
      </c>
      <c r="F71" s="2" t="s">
        <v>50</v>
      </c>
      <c r="G71" s="2">
        <v>5</v>
      </c>
      <c r="H71" s="2" t="s">
        <v>5</v>
      </c>
      <c r="I71" s="2" t="str">
        <f>LOOKUP(G71,{1,3,6,9,12},{"Winter","Spring","Summer","Autumn","Winter"})</f>
        <v>Spring</v>
      </c>
      <c r="J71" s="2" t="s">
        <v>291</v>
      </c>
      <c r="K71" s="2">
        <f t="shared" si="1"/>
        <v>2000</v>
      </c>
    </row>
    <row r="72" spans="1:11" ht="25" customHeight="1">
      <c r="A72" s="2">
        <v>1</v>
      </c>
      <c r="B72" s="2" t="s">
        <v>37</v>
      </c>
      <c r="C72" s="4" t="s">
        <v>38</v>
      </c>
      <c r="D72" s="4" t="s">
        <v>130</v>
      </c>
      <c r="E72" s="2">
        <v>2007</v>
      </c>
      <c r="F72" s="2" t="s">
        <v>50</v>
      </c>
      <c r="G72" s="2">
        <v>5</v>
      </c>
      <c r="H72" s="2" t="s">
        <v>5</v>
      </c>
      <c r="I72" s="2" t="str">
        <f>LOOKUP(G72,{1,3,6,9,12},{"Winter","Spring","Summer","Autumn","Winter"})</f>
        <v>Spring</v>
      </c>
      <c r="J72" s="2" t="s">
        <v>291</v>
      </c>
      <c r="K72" s="2">
        <f t="shared" si="1"/>
        <v>2000</v>
      </c>
    </row>
    <row r="73" spans="1:11" ht="25" customHeight="1">
      <c r="A73" s="2">
        <v>1</v>
      </c>
      <c r="B73" s="2" t="s">
        <v>37</v>
      </c>
      <c r="C73" s="4" t="s">
        <v>38</v>
      </c>
      <c r="D73" s="4" t="s">
        <v>131</v>
      </c>
      <c r="E73" s="2">
        <v>2007</v>
      </c>
      <c r="F73" s="2" t="s">
        <v>50</v>
      </c>
      <c r="G73" s="2">
        <v>5</v>
      </c>
      <c r="H73" s="2" t="s">
        <v>5</v>
      </c>
      <c r="I73" s="2" t="str">
        <f>LOOKUP(G73,{1,3,6,9,12},{"Winter","Spring","Summer","Autumn","Winter"})</f>
        <v>Spring</v>
      </c>
      <c r="J73" s="2" t="s">
        <v>291</v>
      </c>
      <c r="K73" s="2">
        <f t="shared" si="1"/>
        <v>2000</v>
      </c>
    </row>
    <row r="74" spans="1:11" ht="25" customHeight="1">
      <c r="A74" s="2">
        <v>1</v>
      </c>
      <c r="B74" s="2" t="s">
        <v>37</v>
      </c>
      <c r="C74" s="4" t="s">
        <v>38</v>
      </c>
      <c r="D74" s="4" t="s">
        <v>132</v>
      </c>
      <c r="E74" s="2">
        <v>2007</v>
      </c>
      <c r="F74" s="2" t="s">
        <v>78</v>
      </c>
      <c r="G74" s="2">
        <v>6</v>
      </c>
      <c r="H74" s="2" t="s">
        <v>8</v>
      </c>
      <c r="I74" s="2" t="str">
        <f>LOOKUP(G74,{1,3,6,9,12},{"Winter","Spring","Summer","Autumn","Winter"})</f>
        <v>Summer</v>
      </c>
      <c r="J74" s="2" t="s">
        <v>292</v>
      </c>
      <c r="K74" s="2">
        <f t="shared" si="1"/>
        <v>2000</v>
      </c>
    </row>
    <row r="75" spans="1:11" ht="25" customHeight="1">
      <c r="A75" s="2">
        <v>1</v>
      </c>
      <c r="B75" s="2" t="s">
        <v>28</v>
      </c>
      <c r="C75" s="4" t="s">
        <v>133</v>
      </c>
      <c r="D75" s="4" t="s">
        <v>134</v>
      </c>
      <c r="E75" s="2">
        <v>2008</v>
      </c>
      <c r="F75" s="2" t="s">
        <v>63</v>
      </c>
      <c r="G75" s="2">
        <v>1</v>
      </c>
      <c r="H75" s="2" t="s">
        <v>6</v>
      </c>
      <c r="I75" s="2" t="str">
        <f>LOOKUP(G75,{1,3,6,9,12},{"Winter","Spring","Summer","Autumn","Winter"})</f>
        <v>Winter</v>
      </c>
      <c r="J75" s="2" t="s">
        <v>294</v>
      </c>
      <c r="K75" s="2">
        <f t="shared" si="1"/>
        <v>2000</v>
      </c>
    </row>
    <row r="76" spans="1:11" ht="25" customHeight="1">
      <c r="A76" s="2">
        <v>2</v>
      </c>
      <c r="B76" s="2" t="s">
        <v>20</v>
      </c>
      <c r="C76" s="4" t="s">
        <v>135</v>
      </c>
      <c r="D76" s="4" t="s">
        <v>136</v>
      </c>
      <c r="E76" s="2">
        <v>2008</v>
      </c>
      <c r="F76" s="2" t="s">
        <v>25</v>
      </c>
      <c r="G76" s="2">
        <v>9</v>
      </c>
      <c r="H76" s="2" t="s">
        <v>1</v>
      </c>
      <c r="I76" s="2" t="str">
        <f>LOOKUP(G76,{1,3,6,9,12},{"Winter","Spring","Summer","Autumn","Winter"})</f>
        <v>Autumn</v>
      </c>
      <c r="J76" s="2" t="s">
        <v>293</v>
      </c>
      <c r="K76" s="2">
        <f t="shared" si="1"/>
        <v>2000</v>
      </c>
    </row>
    <row r="77" spans="1:11" ht="25" customHeight="1">
      <c r="A77" s="2">
        <v>1</v>
      </c>
      <c r="B77" s="2" t="s">
        <v>20</v>
      </c>
      <c r="C77" s="4" t="s">
        <v>135</v>
      </c>
      <c r="D77" s="4" t="s">
        <v>137</v>
      </c>
      <c r="E77" s="2">
        <v>2008</v>
      </c>
      <c r="F77" s="2" t="s">
        <v>83</v>
      </c>
      <c r="G77" s="2">
        <v>12</v>
      </c>
      <c r="H77" s="2" t="s">
        <v>9</v>
      </c>
      <c r="I77" s="2" t="str">
        <f>LOOKUP(G77,{1,3,6,9,12},{"Winter","Spring","Summer","Autumn","Winter"})</f>
        <v>Winter</v>
      </c>
      <c r="J77" s="2" t="s">
        <v>294</v>
      </c>
      <c r="K77" s="2">
        <f t="shared" si="1"/>
        <v>2000</v>
      </c>
    </row>
    <row r="78" spans="1:11" ht="25" customHeight="1">
      <c r="A78" s="2">
        <v>1</v>
      </c>
      <c r="B78" s="2" t="s">
        <v>20</v>
      </c>
      <c r="C78" s="4" t="s">
        <v>135</v>
      </c>
      <c r="D78" s="4" t="s">
        <v>138</v>
      </c>
      <c r="E78" s="2">
        <v>2008</v>
      </c>
      <c r="F78" s="2" t="s">
        <v>83</v>
      </c>
      <c r="G78" s="2">
        <v>12</v>
      </c>
      <c r="H78" s="2" t="s">
        <v>9</v>
      </c>
      <c r="I78" s="2" t="str">
        <f>LOOKUP(G78,{1,3,6,9,12},{"Winter","Spring","Summer","Autumn","Winter"})</f>
        <v>Winter</v>
      </c>
      <c r="J78" s="2" t="s">
        <v>294</v>
      </c>
      <c r="K78" s="2">
        <f t="shared" si="1"/>
        <v>2000</v>
      </c>
    </row>
    <row r="79" spans="1:11" ht="25" customHeight="1">
      <c r="A79" s="2">
        <v>1</v>
      </c>
      <c r="B79" s="2" t="s">
        <v>20</v>
      </c>
      <c r="C79" s="4" t="s">
        <v>21</v>
      </c>
      <c r="D79" s="4" t="s">
        <v>139</v>
      </c>
      <c r="E79" s="2">
        <v>2009</v>
      </c>
      <c r="F79" s="2" t="s">
        <v>63</v>
      </c>
      <c r="G79" s="2">
        <v>1</v>
      </c>
      <c r="H79" s="2" t="s">
        <v>6</v>
      </c>
      <c r="I79" s="2" t="str">
        <f>LOOKUP(G79,{1,3,6,9,12},{"Winter","Spring","Summer","Autumn","Winter"})</f>
        <v>Winter</v>
      </c>
      <c r="J79" s="2" t="s">
        <v>294</v>
      </c>
      <c r="K79" s="2">
        <f t="shared" si="1"/>
        <v>2000</v>
      </c>
    </row>
    <row r="80" spans="1:11" ht="25" customHeight="1">
      <c r="A80" s="2">
        <v>1</v>
      </c>
      <c r="B80" s="2" t="s">
        <v>37</v>
      </c>
      <c r="C80" s="4" t="s">
        <v>38</v>
      </c>
      <c r="D80" s="4" t="s">
        <v>140</v>
      </c>
      <c r="E80" s="2">
        <v>2009</v>
      </c>
      <c r="F80" s="2" t="s">
        <v>63</v>
      </c>
      <c r="G80" s="2">
        <v>1</v>
      </c>
      <c r="H80" s="2" t="s">
        <v>6</v>
      </c>
      <c r="I80" s="2" t="str">
        <f>LOOKUP(G80,{1,3,6,9,12},{"Winter","Spring","Summer","Autumn","Winter"})</f>
        <v>Winter</v>
      </c>
      <c r="J80" s="2" t="s">
        <v>294</v>
      </c>
      <c r="K80" s="2">
        <f t="shared" si="1"/>
        <v>2000</v>
      </c>
    </row>
    <row r="81" spans="1:11" ht="25" customHeight="1">
      <c r="A81" s="2">
        <v>1</v>
      </c>
      <c r="B81" s="2" t="s">
        <v>37</v>
      </c>
      <c r="C81" s="4" t="s">
        <v>38</v>
      </c>
      <c r="D81" s="4" t="s">
        <v>141</v>
      </c>
      <c r="E81" s="2">
        <v>2009</v>
      </c>
      <c r="F81" s="2" t="s">
        <v>63</v>
      </c>
      <c r="G81" s="2">
        <v>1</v>
      </c>
      <c r="H81" s="2" t="s">
        <v>6</v>
      </c>
      <c r="I81" s="2" t="str">
        <f>LOOKUP(G81,{1,3,6,9,12},{"Winter","Spring","Summer","Autumn","Winter"})</f>
        <v>Winter</v>
      </c>
      <c r="J81" s="2" t="s">
        <v>294</v>
      </c>
      <c r="K81" s="2">
        <f t="shared" si="1"/>
        <v>2000</v>
      </c>
    </row>
    <row r="82" spans="1:11" ht="25" customHeight="1">
      <c r="A82" s="2">
        <v>2</v>
      </c>
      <c r="B82" s="2" t="s">
        <v>20</v>
      </c>
      <c r="C82" s="4" t="s">
        <v>135</v>
      </c>
      <c r="D82" s="4" t="s">
        <v>142</v>
      </c>
      <c r="E82" s="2">
        <v>2009</v>
      </c>
      <c r="F82" s="2" t="s">
        <v>25</v>
      </c>
      <c r="G82" s="2">
        <v>9</v>
      </c>
      <c r="H82" s="2" t="s">
        <v>1</v>
      </c>
      <c r="I82" s="2" t="str">
        <f>LOOKUP(G82,{1,3,6,9,12},{"Winter","Spring","Summer","Autumn","Winter"})</f>
        <v>Autumn</v>
      </c>
      <c r="J82" s="2" t="s">
        <v>293</v>
      </c>
      <c r="K82" s="2">
        <f t="shared" si="1"/>
        <v>2000</v>
      </c>
    </row>
    <row r="83" spans="1:11" ht="25" customHeight="1">
      <c r="A83" s="2">
        <v>1</v>
      </c>
      <c r="B83" s="2" t="s">
        <v>37</v>
      </c>
      <c r="C83" s="4" t="s">
        <v>38</v>
      </c>
      <c r="D83" s="4" t="s">
        <v>143</v>
      </c>
      <c r="E83" s="2">
        <v>2009</v>
      </c>
      <c r="F83" s="2" t="s">
        <v>25</v>
      </c>
      <c r="G83" s="2">
        <v>9</v>
      </c>
      <c r="H83" s="2" t="s">
        <v>1</v>
      </c>
      <c r="I83" s="2" t="str">
        <f>LOOKUP(G83,{1,3,6,9,12},{"Winter","Spring","Summer","Autumn","Winter"})</f>
        <v>Autumn</v>
      </c>
      <c r="J83" s="2" t="s">
        <v>293</v>
      </c>
      <c r="K83" s="2">
        <f t="shared" si="1"/>
        <v>2000</v>
      </c>
    </row>
    <row r="84" spans="1:11" ht="25" customHeight="1">
      <c r="A84" s="2">
        <v>2</v>
      </c>
      <c r="B84" s="2" t="s">
        <v>20</v>
      </c>
      <c r="C84" s="4" t="s">
        <v>21</v>
      </c>
      <c r="D84" s="4" t="s">
        <v>144</v>
      </c>
      <c r="E84" s="2">
        <v>2009</v>
      </c>
      <c r="F84" s="2" t="s">
        <v>83</v>
      </c>
      <c r="G84" s="2">
        <v>12</v>
      </c>
      <c r="H84" s="2" t="s">
        <v>9</v>
      </c>
      <c r="I84" s="2" t="str">
        <f>LOOKUP(G84,{1,3,6,9,12},{"Winter","Spring","Summer","Autumn","Winter"})</f>
        <v>Winter</v>
      </c>
      <c r="J84" s="2" t="s">
        <v>294</v>
      </c>
      <c r="K84" s="2">
        <f t="shared" si="1"/>
        <v>2000</v>
      </c>
    </row>
    <row r="85" spans="1:11" ht="25" customHeight="1">
      <c r="A85" s="2">
        <v>1</v>
      </c>
      <c r="B85" s="2" t="s">
        <v>37</v>
      </c>
      <c r="C85" s="4" t="s">
        <v>38</v>
      </c>
      <c r="D85" s="4" t="s">
        <v>145</v>
      </c>
      <c r="E85" s="2">
        <v>2010</v>
      </c>
      <c r="F85" s="2" t="s">
        <v>63</v>
      </c>
      <c r="G85" s="2">
        <v>1</v>
      </c>
      <c r="H85" s="2" t="s">
        <v>6</v>
      </c>
      <c r="I85" s="2" t="str">
        <f>LOOKUP(G85,{1,3,6,9,12},{"Winter","Spring","Summer","Autumn","Winter"})</f>
        <v>Winter</v>
      </c>
      <c r="J85" s="2" t="s">
        <v>294</v>
      </c>
      <c r="K85" s="2">
        <f t="shared" si="1"/>
        <v>2010</v>
      </c>
    </row>
    <row r="86" spans="1:11" ht="25" customHeight="1">
      <c r="A86" s="2">
        <v>2</v>
      </c>
      <c r="B86" s="2" t="s">
        <v>28</v>
      </c>
      <c r="C86" s="4" t="s">
        <v>98</v>
      </c>
      <c r="D86" s="4" t="s">
        <v>146</v>
      </c>
      <c r="E86" s="2">
        <v>2010</v>
      </c>
      <c r="F86" s="2" t="s">
        <v>63</v>
      </c>
      <c r="G86" s="2">
        <v>1</v>
      </c>
      <c r="H86" s="2" t="s">
        <v>6</v>
      </c>
      <c r="I86" s="2" t="str">
        <f>LOOKUP(G86,{1,3,6,9,12},{"Winter","Spring","Summer","Autumn","Winter"})</f>
        <v>Winter</v>
      </c>
      <c r="J86" s="2" t="s">
        <v>294</v>
      </c>
      <c r="K86" s="2">
        <f t="shared" si="1"/>
        <v>2010</v>
      </c>
    </row>
    <row r="87" spans="1:11" ht="25" customHeight="1">
      <c r="A87" s="2">
        <v>18</v>
      </c>
      <c r="B87" s="2" t="s">
        <v>28</v>
      </c>
      <c r="C87" s="4" t="s">
        <v>147</v>
      </c>
      <c r="D87" s="4" t="s">
        <v>148</v>
      </c>
      <c r="E87" s="2">
        <v>2010</v>
      </c>
      <c r="F87" s="2" t="s">
        <v>43</v>
      </c>
      <c r="G87" s="2">
        <v>2</v>
      </c>
      <c r="H87" s="2" t="s">
        <v>4</v>
      </c>
      <c r="I87" s="2" t="str">
        <f>LOOKUP(G87,{1,3,6,9,12},{"Winter","Spring","Summer","Autumn","Winter"})</f>
        <v>Winter</v>
      </c>
      <c r="J87" s="2" t="s">
        <v>294</v>
      </c>
      <c r="K87" s="2">
        <f t="shared" si="1"/>
        <v>2010</v>
      </c>
    </row>
    <row r="88" spans="1:11" ht="25" customHeight="1">
      <c r="A88" s="2">
        <v>2</v>
      </c>
      <c r="B88" s="2" t="s">
        <v>28</v>
      </c>
      <c r="C88" s="4" t="s">
        <v>58</v>
      </c>
      <c r="D88" s="4" t="s">
        <v>149</v>
      </c>
      <c r="E88" s="2">
        <v>2010</v>
      </c>
      <c r="F88" s="2" t="s">
        <v>43</v>
      </c>
      <c r="G88" s="2">
        <v>2</v>
      </c>
      <c r="H88" s="2" t="s">
        <v>4</v>
      </c>
      <c r="I88" s="2" t="str">
        <f>LOOKUP(G88,{1,3,6,9,12},{"Winter","Spring","Summer","Autumn","Winter"})</f>
        <v>Winter</v>
      </c>
      <c r="J88" s="2" t="s">
        <v>294</v>
      </c>
      <c r="K88" s="2">
        <f t="shared" si="1"/>
        <v>2010</v>
      </c>
    </row>
    <row r="89" spans="1:11" ht="25" customHeight="1">
      <c r="A89" s="2">
        <v>1</v>
      </c>
      <c r="B89" s="2" t="s">
        <v>80</v>
      </c>
      <c r="C89" s="4" t="s">
        <v>150</v>
      </c>
      <c r="D89" s="4" t="s">
        <v>151</v>
      </c>
      <c r="E89" s="2">
        <v>2010</v>
      </c>
      <c r="F89" s="2" t="s">
        <v>43</v>
      </c>
      <c r="G89" s="2">
        <v>2</v>
      </c>
      <c r="H89" s="2" t="s">
        <v>4</v>
      </c>
      <c r="I89" s="2" t="str">
        <f>LOOKUP(G89,{1,3,6,9,12},{"Winter","Spring","Summer","Autumn","Winter"})</f>
        <v>Winter</v>
      </c>
      <c r="J89" s="2" t="s">
        <v>294</v>
      </c>
      <c r="K89" s="2">
        <f t="shared" si="1"/>
        <v>2010</v>
      </c>
    </row>
    <row r="90" spans="1:11" ht="25" customHeight="1">
      <c r="A90" s="2">
        <v>2</v>
      </c>
      <c r="B90" s="2" t="s">
        <v>28</v>
      </c>
      <c r="C90" s="4" t="s">
        <v>152</v>
      </c>
      <c r="D90" s="4" t="s">
        <v>153</v>
      </c>
      <c r="E90" s="2">
        <v>2010</v>
      </c>
      <c r="F90" s="2" t="s">
        <v>27</v>
      </c>
      <c r="G90" s="2">
        <v>8</v>
      </c>
      <c r="H90" s="2" t="s">
        <v>2</v>
      </c>
      <c r="I90" s="2" t="str">
        <f>LOOKUP(G90,{1,3,6,9,12},{"Winter","Spring","Summer","Autumn","Winter"})</f>
        <v>Summer</v>
      </c>
      <c r="J90" s="2" t="s">
        <v>292</v>
      </c>
      <c r="K90" s="2">
        <f t="shared" si="1"/>
        <v>2010</v>
      </c>
    </row>
    <row r="91" spans="1:11" ht="25" customHeight="1">
      <c r="A91" s="2">
        <v>2</v>
      </c>
      <c r="B91" s="2" t="s">
        <v>28</v>
      </c>
      <c r="C91" s="4" t="s">
        <v>113</v>
      </c>
      <c r="D91" s="4" t="s">
        <v>114</v>
      </c>
      <c r="E91" s="2">
        <v>2010</v>
      </c>
      <c r="F91" s="2" t="s">
        <v>25</v>
      </c>
      <c r="G91" s="2">
        <v>9</v>
      </c>
      <c r="H91" s="2" t="s">
        <v>1</v>
      </c>
      <c r="I91" s="2" t="str">
        <f>LOOKUP(G91,{1,3,6,9,12},{"Winter","Spring","Summer","Autumn","Winter"})</f>
        <v>Autumn</v>
      </c>
      <c r="J91" s="2" t="s">
        <v>293</v>
      </c>
      <c r="K91" s="2">
        <f t="shared" si="1"/>
        <v>2010</v>
      </c>
    </row>
    <row r="92" spans="1:11" ht="25" customHeight="1">
      <c r="A92" s="2">
        <v>1</v>
      </c>
      <c r="B92" s="2" t="s">
        <v>80</v>
      </c>
      <c r="C92" s="4" t="s">
        <v>150</v>
      </c>
      <c r="D92" s="4" t="s">
        <v>154</v>
      </c>
      <c r="E92" s="2">
        <v>2010</v>
      </c>
      <c r="F92" s="2" t="s">
        <v>40</v>
      </c>
      <c r="G92" s="2">
        <v>10</v>
      </c>
      <c r="H92" s="2" t="s">
        <v>3</v>
      </c>
      <c r="I92" s="2" t="str">
        <f>LOOKUP(G92,{1,3,6,9,12},{"Winter","Spring","Summer","Autumn","Winter"})</f>
        <v>Autumn</v>
      </c>
      <c r="J92" s="2" t="s">
        <v>293</v>
      </c>
      <c r="K92" s="2">
        <f t="shared" si="1"/>
        <v>2010</v>
      </c>
    </row>
    <row r="93" spans="1:11" ht="25" customHeight="1">
      <c r="A93" s="2">
        <v>1</v>
      </c>
      <c r="B93" s="2" t="s">
        <v>37</v>
      </c>
      <c r="C93" s="4" t="s">
        <v>38</v>
      </c>
      <c r="D93" s="4" t="s">
        <v>155</v>
      </c>
      <c r="E93" s="2">
        <v>2010</v>
      </c>
      <c r="F93" s="2" t="s">
        <v>40</v>
      </c>
      <c r="G93" s="2">
        <v>10</v>
      </c>
      <c r="H93" s="2" t="s">
        <v>3</v>
      </c>
      <c r="I93" s="2" t="str">
        <f>LOOKUP(G93,{1,3,6,9,12},{"Winter","Spring","Summer","Autumn","Winter"})</f>
        <v>Autumn</v>
      </c>
      <c r="J93" s="2" t="s">
        <v>293</v>
      </c>
      <c r="K93" s="2">
        <f t="shared" si="1"/>
        <v>2010</v>
      </c>
    </row>
    <row r="94" spans="1:11" ht="25" customHeight="1">
      <c r="A94" s="2">
        <v>2</v>
      </c>
      <c r="B94" s="2" t="s">
        <v>20</v>
      </c>
      <c r="C94" s="4" t="s">
        <v>135</v>
      </c>
      <c r="D94" s="4" t="s">
        <v>156</v>
      </c>
      <c r="E94" s="2">
        <v>2011</v>
      </c>
      <c r="F94" s="2" t="s">
        <v>63</v>
      </c>
      <c r="G94" s="2">
        <v>1</v>
      </c>
      <c r="H94" s="2" t="s">
        <v>6</v>
      </c>
      <c r="I94" s="2" t="str">
        <f>LOOKUP(G94,{1,3,6,9,12},{"Winter","Spring","Summer","Autumn","Winter"})</f>
        <v>Winter</v>
      </c>
      <c r="J94" s="2" t="s">
        <v>294</v>
      </c>
      <c r="K94" s="2">
        <f t="shared" si="1"/>
        <v>2010</v>
      </c>
    </row>
    <row r="95" spans="1:11" ht="25" customHeight="1">
      <c r="A95" s="2">
        <v>1</v>
      </c>
      <c r="B95" s="2" t="s">
        <v>28</v>
      </c>
      <c r="C95" s="4" t="s">
        <v>157</v>
      </c>
      <c r="D95" s="4" t="s">
        <v>158</v>
      </c>
      <c r="E95" s="2">
        <v>2011</v>
      </c>
      <c r="F95" s="2" t="s">
        <v>63</v>
      </c>
      <c r="G95" s="2">
        <v>1</v>
      </c>
      <c r="H95" s="2" t="s">
        <v>6</v>
      </c>
      <c r="I95" s="2" t="str">
        <f>LOOKUP(G95,{1,3,6,9,12},{"Winter","Spring","Summer","Autumn","Winter"})</f>
        <v>Winter</v>
      </c>
      <c r="J95" s="2" t="s">
        <v>294</v>
      </c>
      <c r="K95" s="2">
        <f t="shared" si="1"/>
        <v>2010</v>
      </c>
    </row>
    <row r="96" spans="1:11" ht="25" customHeight="1">
      <c r="A96" s="2">
        <v>1</v>
      </c>
      <c r="B96" s="2" t="s">
        <v>80</v>
      </c>
      <c r="C96" s="4" t="s">
        <v>81</v>
      </c>
      <c r="D96" s="4" t="s">
        <v>159</v>
      </c>
      <c r="E96" s="2">
        <v>2011</v>
      </c>
      <c r="F96" s="2" t="s">
        <v>63</v>
      </c>
      <c r="G96" s="2">
        <v>1</v>
      </c>
      <c r="H96" s="2" t="s">
        <v>6</v>
      </c>
      <c r="I96" s="2" t="str">
        <f>LOOKUP(G96,{1,3,6,9,12},{"Winter","Spring","Summer","Autumn","Winter"})</f>
        <v>Winter</v>
      </c>
      <c r="J96" s="2" t="s">
        <v>294</v>
      </c>
      <c r="K96" s="2">
        <f t="shared" si="1"/>
        <v>2010</v>
      </c>
    </row>
    <row r="97" spans="1:11" ht="25" customHeight="1">
      <c r="A97" s="2">
        <v>1</v>
      </c>
      <c r="B97" s="2" t="s">
        <v>80</v>
      </c>
      <c r="C97" s="4" t="s">
        <v>150</v>
      </c>
      <c r="D97" s="4" t="s">
        <v>160</v>
      </c>
      <c r="E97" s="2">
        <v>2011</v>
      </c>
      <c r="F97" s="2" t="s">
        <v>43</v>
      </c>
      <c r="G97" s="2">
        <v>2</v>
      </c>
      <c r="H97" s="2" t="s">
        <v>4</v>
      </c>
      <c r="I97" s="2" t="str">
        <f>LOOKUP(G97,{1,3,6,9,12},{"Winter","Spring","Summer","Autumn","Winter"})</f>
        <v>Winter</v>
      </c>
      <c r="J97" s="2" t="s">
        <v>294</v>
      </c>
      <c r="K97" s="2">
        <f t="shared" si="1"/>
        <v>2010</v>
      </c>
    </row>
    <row r="98" spans="1:11" ht="25" customHeight="1">
      <c r="A98" s="2">
        <v>1</v>
      </c>
      <c r="B98" s="2" t="s">
        <v>20</v>
      </c>
      <c r="C98" s="4" t="s">
        <v>21</v>
      </c>
      <c r="D98" s="4" t="s">
        <v>161</v>
      </c>
      <c r="E98" s="2">
        <v>2011</v>
      </c>
      <c r="F98" s="2" t="s">
        <v>43</v>
      </c>
      <c r="G98" s="2">
        <v>2</v>
      </c>
      <c r="H98" s="2" t="s">
        <v>4</v>
      </c>
      <c r="I98" s="2" t="str">
        <f>LOOKUP(G98,{1,3,6,9,12},{"Winter","Spring","Summer","Autumn","Winter"})</f>
        <v>Winter</v>
      </c>
      <c r="J98" s="2" t="s">
        <v>294</v>
      </c>
      <c r="K98" s="2">
        <f t="shared" si="1"/>
        <v>2010</v>
      </c>
    </row>
    <row r="99" spans="1:11" ht="25" customHeight="1">
      <c r="A99" s="2">
        <v>1</v>
      </c>
      <c r="B99" s="2" t="s">
        <v>20</v>
      </c>
      <c r="C99" s="4" t="s">
        <v>135</v>
      </c>
      <c r="D99" s="4" t="s">
        <v>162</v>
      </c>
      <c r="E99" s="2">
        <v>2011</v>
      </c>
      <c r="F99" s="2" t="s">
        <v>43</v>
      </c>
      <c r="G99" s="2">
        <v>2</v>
      </c>
      <c r="H99" s="2" t="s">
        <v>4</v>
      </c>
      <c r="I99" s="2" t="str">
        <f>LOOKUP(G99,{1,3,6,9,12},{"Winter","Spring","Summer","Autumn","Winter"})</f>
        <v>Winter</v>
      </c>
      <c r="J99" s="2" t="s">
        <v>294</v>
      </c>
      <c r="K99" s="2">
        <f t="shared" si="1"/>
        <v>2010</v>
      </c>
    </row>
    <row r="100" spans="1:11" ht="25" customHeight="1">
      <c r="A100" s="2">
        <v>1</v>
      </c>
      <c r="B100" s="2" t="s">
        <v>20</v>
      </c>
      <c r="C100" s="4" t="s">
        <v>135</v>
      </c>
      <c r="D100" s="4" t="s">
        <v>163</v>
      </c>
      <c r="E100" s="2">
        <v>2011</v>
      </c>
      <c r="F100" s="2" t="s">
        <v>43</v>
      </c>
      <c r="G100" s="2">
        <v>2</v>
      </c>
      <c r="H100" s="2" t="s">
        <v>4</v>
      </c>
      <c r="I100" s="2" t="str">
        <f>LOOKUP(G100,{1,3,6,9,12},{"Winter","Spring","Summer","Autumn","Winter"})</f>
        <v>Winter</v>
      </c>
      <c r="J100" s="2" t="s">
        <v>294</v>
      </c>
      <c r="K100" s="2">
        <f t="shared" si="1"/>
        <v>2010</v>
      </c>
    </row>
    <row r="101" spans="1:11" ht="25" customHeight="1">
      <c r="A101" s="2">
        <v>1</v>
      </c>
      <c r="B101" s="2" t="s">
        <v>37</v>
      </c>
      <c r="C101" s="4" t="s">
        <v>164</v>
      </c>
      <c r="D101" s="4" t="s">
        <v>165</v>
      </c>
      <c r="E101" s="2">
        <v>2011</v>
      </c>
      <c r="F101" s="2" t="s">
        <v>78</v>
      </c>
      <c r="G101" s="2">
        <v>6</v>
      </c>
      <c r="H101" s="2" t="s">
        <v>8</v>
      </c>
      <c r="I101" s="2" t="str">
        <f>LOOKUP(G101,{1,3,6,9,12},{"Winter","Spring","Summer","Autumn","Winter"})</f>
        <v>Summer</v>
      </c>
      <c r="J101" s="2" t="s">
        <v>292</v>
      </c>
      <c r="K101" s="2">
        <f t="shared" si="1"/>
        <v>2010</v>
      </c>
    </row>
    <row r="102" spans="1:11" ht="25" customHeight="1">
      <c r="A102" s="2">
        <v>1</v>
      </c>
      <c r="B102" s="2" t="s">
        <v>28</v>
      </c>
      <c r="C102" s="4" t="s">
        <v>166</v>
      </c>
      <c r="D102" s="4" t="s">
        <v>114</v>
      </c>
      <c r="E102" s="2">
        <v>2011</v>
      </c>
      <c r="F102" s="2" t="s">
        <v>25</v>
      </c>
      <c r="G102" s="2">
        <v>9</v>
      </c>
      <c r="H102" s="2" t="s">
        <v>1</v>
      </c>
      <c r="I102" s="2" t="str">
        <f>LOOKUP(G102,{1,3,6,9,12},{"Winter","Spring","Summer","Autumn","Winter"})</f>
        <v>Autumn</v>
      </c>
      <c r="J102" s="2" t="s">
        <v>293</v>
      </c>
      <c r="K102" s="2">
        <f t="shared" si="1"/>
        <v>2010</v>
      </c>
    </row>
    <row r="103" spans="1:11" ht="25" customHeight="1">
      <c r="A103" s="2">
        <v>5</v>
      </c>
      <c r="B103" s="2" t="s">
        <v>28</v>
      </c>
      <c r="C103" s="4" t="s">
        <v>166</v>
      </c>
      <c r="D103" s="4" t="s">
        <v>167</v>
      </c>
      <c r="E103" s="2">
        <v>2011</v>
      </c>
      <c r="F103" s="2" t="s">
        <v>25</v>
      </c>
      <c r="G103" s="2">
        <v>9</v>
      </c>
      <c r="H103" s="2" t="s">
        <v>1</v>
      </c>
      <c r="I103" s="2" t="str">
        <f>LOOKUP(G103,{1,3,6,9,12},{"Winter","Spring","Summer","Autumn","Winter"})</f>
        <v>Autumn</v>
      </c>
      <c r="J103" s="2" t="s">
        <v>293</v>
      </c>
      <c r="K103" s="2">
        <f t="shared" si="1"/>
        <v>2010</v>
      </c>
    </row>
    <row r="104" spans="1:11" ht="25" customHeight="1">
      <c r="A104" s="2">
        <v>1</v>
      </c>
      <c r="B104" s="2" t="s">
        <v>28</v>
      </c>
      <c r="C104" s="4" t="s">
        <v>166</v>
      </c>
      <c r="D104" s="4" t="s">
        <v>168</v>
      </c>
      <c r="E104" s="2">
        <v>2011</v>
      </c>
      <c r="F104" s="2" t="s">
        <v>40</v>
      </c>
      <c r="G104" s="2">
        <v>10</v>
      </c>
      <c r="H104" s="2" t="s">
        <v>3</v>
      </c>
      <c r="I104" s="2" t="str">
        <f>LOOKUP(G104,{1,3,6,9,12},{"Winter","Spring","Summer","Autumn","Winter"})</f>
        <v>Autumn</v>
      </c>
      <c r="J104" s="2" t="s">
        <v>293</v>
      </c>
      <c r="K104" s="2">
        <f t="shared" si="1"/>
        <v>2010</v>
      </c>
    </row>
    <row r="105" spans="1:11" ht="25" customHeight="1">
      <c r="A105" s="2">
        <v>3</v>
      </c>
      <c r="B105" s="2" t="s">
        <v>20</v>
      </c>
      <c r="C105" s="4" t="s">
        <v>135</v>
      </c>
      <c r="D105" s="4" t="s">
        <v>169</v>
      </c>
      <c r="E105" s="2">
        <v>2012</v>
      </c>
      <c r="F105" s="2" t="s">
        <v>78</v>
      </c>
      <c r="G105" s="2">
        <v>6</v>
      </c>
      <c r="H105" s="2" t="s">
        <v>8</v>
      </c>
      <c r="I105" s="2" t="str">
        <f>LOOKUP(G105,{1,3,6,9,12},{"Winter","Spring","Summer","Autumn","Winter"})</f>
        <v>Summer</v>
      </c>
      <c r="J105" s="2" t="s">
        <v>292</v>
      </c>
      <c r="K105" s="2">
        <f t="shared" si="1"/>
        <v>2010</v>
      </c>
    </row>
    <row r="106" spans="1:11" ht="25" customHeight="1">
      <c r="A106" s="2">
        <v>4</v>
      </c>
      <c r="B106" s="2" t="s">
        <v>20</v>
      </c>
      <c r="C106" s="4" t="s">
        <v>135</v>
      </c>
      <c r="D106" s="4" t="s">
        <v>170</v>
      </c>
      <c r="E106" s="2">
        <v>2012</v>
      </c>
      <c r="F106" s="2" t="s">
        <v>40</v>
      </c>
      <c r="G106" s="2">
        <v>10</v>
      </c>
      <c r="H106" s="2" t="s">
        <v>3</v>
      </c>
      <c r="I106" s="2" t="str">
        <f>LOOKUP(G106,{1,3,6,9,12},{"Winter","Spring","Summer","Autumn","Winter"})</f>
        <v>Autumn</v>
      </c>
      <c r="J106" s="2" t="s">
        <v>293</v>
      </c>
      <c r="K106" s="2">
        <f t="shared" si="1"/>
        <v>2010</v>
      </c>
    </row>
    <row r="107" spans="1:11" ht="25" customHeight="1">
      <c r="A107" s="2">
        <v>1</v>
      </c>
      <c r="B107" s="2" t="s">
        <v>20</v>
      </c>
      <c r="C107" s="4" t="s">
        <v>135</v>
      </c>
      <c r="D107" s="4" t="s">
        <v>171</v>
      </c>
      <c r="E107" s="2">
        <v>2013</v>
      </c>
      <c r="F107" s="2" t="s">
        <v>74</v>
      </c>
      <c r="G107" s="2">
        <v>11</v>
      </c>
      <c r="H107" s="2" t="s">
        <v>7</v>
      </c>
      <c r="I107" s="2" t="str">
        <f>LOOKUP(G107,{1,3,6,9,12},{"Winter","Spring","Summer","Autumn","Winter"})</f>
        <v>Autumn</v>
      </c>
      <c r="J107" s="2" t="s">
        <v>293</v>
      </c>
      <c r="K107" s="2">
        <f t="shared" si="1"/>
        <v>2010</v>
      </c>
    </row>
    <row r="108" spans="1:11" ht="25" customHeight="1">
      <c r="A108" s="2">
        <v>1</v>
      </c>
      <c r="B108" s="2" t="s">
        <v>28</v>
      </c>
      <c r="C108" s="4" t="s">
        <v>166</v>
      </c>
      <c r="D108" s="4" t="s">
        <v>172</v>
      </c>
      <c r="E108" s="2">
        <v>2014</v>
      </c>
      <c r="F108" s="2" t="s">
        <v>43</v>
      </c>
      <c r="G108" s="2">
        <v>2</v>
      </c>
      <c r="H108" s="2" t="s">
        <v>4</v>
      </c>
      <c r="I108" s="2" t="str">
        <f>LOOKUP(G108,{1,3,6,9,12},{"Winter","Spring","Summer","Autumn","Winter"})</f>
        <v>Winter</v>
      </c>
      <c r="J108" s="2" t="s">
        <v>294</v>
      </c>
      <c r="K108" s="2">
        <f t="shared" si="1"/>
        <v>2010</v>
      </c>
    </row>
    <row r="109" spans="1:11" ht="25" customHeight="1">
      <c r="A109" s="2">
        <v>1</v>
      </c>
      <c r="B109" s="2" t="s">
        <v>28</v>
      </c>
      <c r="C109" s="4" t="s">
        <v>173</v>
      </c>
      <c r="D109" s="4" t="s">
        <v>174</v>
      </c>
      <c r="E109" s="2">
        <v>2014</v>
      </c>
      <c r="F109" s="2" t="s">
        <v>86</v>
      </c>
      <c r="G109" s="2">
        <v>3</v>
      </c>
      <c r="H109" s="2" t="s">
        <v>10</v>
      </c>
      <c r="I109" s="2" t="str">
        <f>LOOKUP(G109,{1,3,6,9,12},{"Winter","Spring","Summer","Autumn","Winter"})</f>
        <v>Spring</v>
      </c>
      <c r="J109" s="2" t="s">
        <v>291</v>
      </c>
      <c r="K109" s="2">
        <f t="shared" si="1"/>
        <v>2010</v>
      </c>
    </row>
    <row r="110" spans="1:11" ht="25" customHeight="1">
      <c r="A110" s="2">
        <v>1</v>
      </c>
      <c r="B110" s="2" t="s">
        <v>28</v>
      </c>
      <c r="C110" s="4" t="s">
        <v>166</v>
      </c>
      <c r="D110" s="4" t="s">
        <v>175</v>
      </c>
      <c r="E110" s="2">
        <v>2014</v>
      </c>
      <c r="F110" s="2" t="s">
        <v>86</v>
      </c>
      <c r="G110" s="2">
        <v>3</v>
      </c>
      <c r="H110" s="2" t="s">
        <v>10</v>
      </c>
      <c r="I110" s="2" t="str">
        <f>LOOKUP(G110,{1,3,6,9,12},{"Winter","Spring","Summer","Autumn","Winter"})</f>
        <v>Spring</v>
      </c>
      <c r="J110" s="2" t="s">
        <v>291</v>
      </c>
      <c r="K110" s="2">
        <f t="shared" si="1"/>
        <v>2010</v>
      </c>
    </row>
    <row r="111" spans="1:11" ht="25" customHeight="1">
      <c r="A111" s="2">
        <v>1</v>
      </c>
      <c r="B111" s="2" t="s">
        <v>28</v>
      </c>
      <c r="C111" s="4" t="s">
        <v>176</v>
      </c>
      <c r="D111" s="4" t="s">
        <v>177</v>
      </c>
      <c r="E111" s="2">
        <v>2014</v>
      </c>
      <c r="F111" s="2" t="s">
        <v>86</v>
      </c>
      <c r="G111" s="2">
        <v>3</v>
      </c>
      <c r="H111" s="2" t="s">
        <v>10</v>
      </c>
      <c r="I111" s="2" t="str">
        <f>LOOKUP(G111,{1,3,6,9,12},{"Winter","Spring","Summer","Autumn","Winter"})</f>
        <v>Spring</v>
      </c>
      <c r="J111" s="2" t="s">
        <v>291</v>
      </c>
      <c r="K111" s="2">
        <f t="shared" si="1"/>
        <v>2010</v>
      </c>
    </row>
    <row r="112" spans="1:11" ht="25" customHeight="1">
      <c r="A112" s="2">
        <v>1</v>
      </c>
      <c r="B112" s="2" t="s">
        <v>28</v>
      </c>
      <c r="C112" s="4" t="s">
        <v>176</v>
      </c>
      <c r="D112" s="4" t="s">
        <v>178</v>
      </c>
      <c r="E112" s="2">
        <v>2014</v>
      </c>
      <c r="F112" s="2" t="s">
        <v>86</v>
      </c>
      <c r="G112" s="2">
        <v>3</v>
      </c>
      <c r="H112" s="2" t="s">
        <v>10</v>
      </c>
      <c r="I112" s="2" t="str">
        <f>LOOKUP(G112,{1,3,6,9,12},{"Winter","Spring","Summer","Autumn","Winter"})</f>
        <v>Spring</v>
      </c>
      <c r="J112" s="2" t="s">
        <v>291</v>
      </c>
      <c r="K112" s="2">
        <f t="shared" si="1"/>
        <v>2010</v>
      </c>
    </row>
    <row r="113" spans="1:11" ht="25" customHeight="1">
      <c r="A113" s="2">
        <v>1</v>
      </c>
      <c r="B113" s="2" t="s">
        <v>28</v>
      </c>
      <c r="C113" s="4" t="s">
        <v>88</v>
      </c>
      <c r="D113" s="4" t="s">
        <v>179</v>
      </c>
      <c r="E113" s="2">
        <v>2014</v>
      </c>
      <c r="F113" s="2" t="s">
        <v>86</v>
      </c>
      <c r="G113" s="2">
        <v>3</v>
      </c>
      <c r="H113" s="2" t="s">
        <v>10</v>
      </c>
      <c r="I113" s="2" t="str">
        <f>LOOKUP(G113,{1,3,6,9,12},{"Winter","Spring","Summer","Autumn","Winter"})</f>
        <v>Spring</v>
      </c>
      <c r="J113" s="2" t="s">
        <v>291</v>
      </c>
      <c r="K113" s="2">
        <f t="shared" si="1"/>
        <v>2010</v>
      </c>
    </row>
    <row r="114" spans="1:11" ht="25" customHeight="1">
      <c r="A114" s="2">
        <v>1</v>
      </c>
      <c r="B114" s="2" t="s">
        <v>28</v>
      </c>
      <c r="C114" s="4" t="s">
        <v>113</v>
      </c>
      <c r="D114" s="4" t="s">
        <v>180</v>
      </c>
      <c r="E114" s="2">
        <v>2014</v>
      </c>
      <c r="F114" s="2" t="s">
        <v>23</v>
      </c>
      <c r="G114" s="2">
        <v>4</v>
      </c>
      <c r="H114" s="2" t="s">
        <v>0</v>
      </c>
      <c r="I114" s="2" t="str">
        <f>LOOKUP(G114,{1,3,6,9,12},{"Winter","Spring","Summer","Autumn","Winter"})</f>
        <v>Spring</v>
      </c>
      <c r="J114" s="2" t="s">
        <v>291</v>
      </c>
      <c r="K114" s="2">
        <f t="shared" si="1"/>
        <v>2010</v>
      </c>
    </row>
    <row r="115" spans="1:11" ht="25" customHeight="1">
      <c r="A115" s="2">
        <v>1</v>
      </c>
      <c r="B115" s="2" t="s">
        <v>20</v>
      </c>
      <c r="C115" s="4" t="s">
        <v>21</v>
      </c>
      <c r="D115" s="4" t="s">
        <v>181</v>
      </c>
      <c r="E115" s="2">
        <v>2014</v>
      </c>
      <c r="F115" s="2" t="s">
        <v>78</v>
      </c>
      <c r="G115" s="2">
        <v>6</v>
      </c>
      <c r="H115" s="2" t="s">
        <v>8</v>
      </c>
      <c r="I115" s="2" t="str">
        <f>LOOKUP(G115,{1,3,6,9,12},{"Winter","Spring","Summer","Autumn","Winter"})</f>
        <v>Summer</v>
      </c>
      <c r="J115" s="2" t="s">
        <v>292</v>
      </c>
      <c r="K115" s="2">
        <f t="shared" si="1"/>
        <v>2010</v>
      </c>
    </row>
    <row r="116" spans="1:11" ht="25" customHeight="1">
      <c r="A116" s="2">
        <v>1</v>
      </c>
      <c r="B116" s="2" t="s">
        <v>28</v>
      </c>
      <c r="C116" s="4" t="s">
        <v>166</v>
      </c>
      <c r="D116" s="4" t="s">
        <v>182</v>
      </c>
      <c r="E116" s="2">
        <v>2014</v>
      </c>
      <c r="F116" s="2" t="s">
        <v>183</v>
      </c>
      <c r="G116" s="2">
        <v>7</v>
      </c>
      <c r="H116" s="2" t="s">
        <v>11</v>
      </c>
      <c r="I116" s="2" t="str">
        <f>LOOKUP(G116,{1,3,6,9,12},{"Winter","Spring","Summer","Autumn","Winter"})</f>
        <v>Summer</v>
      </c>
      <c r="J116" s="2" t="s">
        <v>292</v>
      </c>
      <c r="K116" s="2">
        <f t="shared" si="1"/>
        <v>2010</v>
      </c>
    </row>
    <row r="117" spans="1:11" ht="25" customHeight="1">
      <c r="A117" s="2">
        <v>1</v>
      </c>
      <c r="B117" s="2" t="s">
        <v>28</v>
      </c>
      <c r="C117" s="4" t="s">
        <v>166</v>
      </c>
      <c r="D117" s="4" t="s">
        <v>184</v>
      </c>
      <c r="E117" s="2">
        <v>2014</v>
      </c>
      <c r="F117" s="2" t="s">
        <v>25</v>
      </c>
      <c r="G117" s="2">
        <v>9</v>
      </c>
      <c r="H117" s="2" t="s">
        <v>1</v>
      </c>
      <c r="I117" s="2" t="str">
        <f>LOOKUP(G117,{1,3,6,9,12},{"Winter","Spring","Summer","Autumn","Winter"})</f>
        <v>Autumn</v>
      </c>
      <c r="J117" s="2" t="s">
        <v>293</v>
      </c>
      <c r="K117" s="2">
        <f t="shared" si="1"/>
        <v>2010</v>
      </c>
    </row>
    <row r="118" spans="1:11" ht="25" customHeight="1">
      <c r="A118" s="2">
        <v>2</v>
      </c>
      <c r="B118" s="2" t="s">
        <v>28</v>
      </c>
      <c r="C118" s="4" t="s">
        <v>147</v>
      </c>
      <c r="D118" s="4" t="s">
        <v>185</v>
      </c>
      <c r="E118" s="2">
        <v>2014</v>
      </c>
      <c r="F118" s="2" t="s">
        <v>74</v>
      </c>
      <c r="G118" s="2">
        <v>11</v>
      </c>
      <c r="H118" s="2" t="s">
        <v>7</v>
      </c>
      <c r="I118" s="2" t="str">
        <f>LOOKUP(G118,{1,3,6,9,12},{"Winter","Spring","Summer","Autumn","Winter"})</f>
        <v>Autumn</v>
      </c>
      <c r="J118" s="2" t="s">
        <v>293</v>
      </c>
      <c r="K118" s="2">
        <f t="shared" si="1"/>
        <v>2010</v>
      </c>
    </row>
    <row r="119" spans="1:11" ht="25" customHeight="1">
      <c r="A119" s="2">
        <v>1</v>
      </c>
      <c r="B119" s="2" t="s">
        <v>20</v>
      </c>
      <c r="C119" s="4" t="s">
        <v>135</v>
      </c>
      <c r="D119" s="4" t="s">
        <v>186</v>
      </c>
      <c r="E119" s="2">
        <v>2015</v>
      </c>
      <c r="F119" s="2" t="s">
        <v>63</v>
      </c>
      <c r="G119" s="2">
        <v>1</v>
      </c>
      <c r="H119" s="2" t="s">
        <v>6</v>
      </c>
      <c r="I119" s="2" t="str">
        <f>LOOKUP(G119,{1,3,6,9,12},{"Winter","Spring","Summer","Autumn","Winter"})</f>
        <v>Winter</v>
      </c>
      <c r="J119" s="2" t="s">
        <v>294</v>
      </c>
      <c r="K119" s="2">
        <f t="shared" si="1"/>
        <v>2010</v>
      </c>
    </row>
    <row r="120" spans="1:11" ht="25" customHeight="1">
      <c r="A120" s="2">
        <v>1</v>
      </c>
      <c r="B120" s="2" t="s">
        <v>28</v>
      </c>
      <c r="C120" s="4" t="s">
        <v>187</v>
      </c>
      <c r="D120" s="4" t="s">
        <v>188</v>
      </c>
      <c r="E120" s="2">
        <v>2015</v>
      </c>
      <c r="F120" s="2" t="s">
        <v>43</v>
      </c>
      <c r="G120" s="2">
        <v>2</v>
      </c>
      <c r="H120" s="2" t="s">
        <v>4</v>
      </c>
      <c r="I120" s="2" t="str">
        <f>LOOKUP(G120,{1,3,6,9,12},{"Winter","Spring","Summer","Autumn","Winter"})</f>
        <v>Winter</v>
      </c>
      <c r="J120" s="2" t="s">
        <v>294</v>
      </c>
      <c r="K120" s="2">
        <f t="shared" si="1"/>
        <v>2010</v>
      </c>
    </row>
    <row r="121" spans="1:11" ht="25" customHeight="1">
      <c r="A121" s="2">
        <v>1</v>
      </c>
      <c r="B121" s="2" t="s">
        <v>37</v>
      </c>
      <c r="C121" s="4" t="s">
        <v>164</v>
      </c>
      <c r="D121" s="4" t="s">
        <v>189</v>
      </c>
      <c r="E121" s="2">
        <v>2015</v>
      </c>
      <c r="F121" s="2" t="s">
        <v>86</v>
      </c>
      <c r="G121" s="2">
        <v>3</v>
      </c>
      <c r="H121" s="2" t="s">
        <v>10</v>
      </c>
      <c r="I121" s="2" t="str">
        <f>LOOKUP(G121,{1,3,6,9,12},{"Winter","Spring","Summer","Autumn","Winter"})</f>
        <v>Spring</v>
      </c>
      <c r="J121" s="2" t="s">
        <v>291</v>
      </c>
      <c r="K121" s="2">
        <f t="shared" si="1"/>
        <v>2010</v>
      </c>
    </row>
    <row r="122" spans="1:11" ht="25" customHeight="1">
      <c r="A122" s="2">
        <v>1</v>
      </c>
      <c r="B122" s="2" t="s">
        <v>20</v>
      </c>
      <c r="C122" s="4" t="s">
        <v>21</v>
      </c>
      <c r="D122" s="4" t="s">
        <v>190</v>
      </c>
      <c r="E122" s="2">
        <v>2016</v>
      </c>
      <c r="F122" s="2" t="s">
        <v>86</v>
      </c>
      <c r="G122" s="2">
        <v>3</v>
      </c>
      <c r="H122" s="2" t="s">
        <v>10</v>
      </c>
      <c r="I122" s="2" t="str">
        <f>LOOKUP(G122,{1,3,6,9,12},{"Winter","Spring","Summer","Autumn","Winter"})</f>
        <v>Spring</v>
      </c>
      <c r="J122" s="2" t="s">
        <v>291</v>
      </c>
      <c r="K122" s="2">
        <f t="shared" si="1"/>
        <v>2010</v>
      </c>
    </row>
    <row r="123" spans="1:11" ht="25" customHeight="1">
      <c r="A123" s="2">
        <v>1</v>
      </c>
      <c r="B123" s="2" t="s">
        <v>37</v>
      </c>
      <c r="C123" s="4" t="s">
        <v>164</v>
      </c>
      <c r="D123" s="4" t="s">
        <v>191</v>
      </c>
      <c r="E123" s="2">
        <v>2016</v>
      </c>
      <c r="F123" s="2" t="s">
        <v>23</v>
      </c>
      <c r="G123" s="2">
        <v>4</v>
      </c>
      <c r="H123" s="2" t="s">
        <v>0</v>
      </c>
      <c r="I123" s="2" t="str">
        <f>LOOKUP(G123,{1,3,6,9,12},{"Winter","Spring","Summer","Autumn","Winter"})</f>
        <v>Spring</v>
      </c>
      <c r="J123" s="2" t="s">
        <v>291</v>
      </c>
      <c r="K123" s="2">
        <f t="shared" si="1"/>
        <v>2010</v>
      </c>
    </row>
    <row r="124" spans="1:11" ht="25" customHeight="1">
      <c r="A124" s="2">
        <v>1</v>
      </c>
      <c r="B124" s="2" t="s">
        <v>37</v>
      </c>
      <c r="C124" s="4" t="s">
        <v>164</v>
      </c>
      <c r="D124" s="4" t="s">
        <v>192</v>
      </c>
      <c r="E124" s="2">
        <v>2016</v>
      </c>
      <c r="F124" s="2" t="s">
        <v>50</v>
      </c>
      <c r="G124" s="2">
        <v>5</v>
      </c>
      <c r="H124" s="2" t="s">
        <v>5</v>
      </c>
      <c r="I124" s="2" t="str">
        <f>LOOKUP(G124,{1,3,6,9,12},{"Winter","Spring","Summer","Autumn","Winter"})</f>
        <v>Spring</v>
      </c>
      <c r="J124" s="2" t="s">
        <v>291</v>
      </c>
      <c r="K124" s="2">
        <f t="shared" si="1"/>
        <v>2010</v>
      </c>
    </row>
    <row r="125" spans="1:11" ht="25" customHeight="1">
      <c r="A125" s="2">
        <v>1</v>
      </c>
      <c r="B125" s="2" t="s">
        <v>28</v>
      </c>
      <c r="C125" s="4" t="s">
        <v>166</v>
      </c>
      <c r="D125" s="4" t="s">
        <v>193</v>
      </c>
      <c r="E125" s="2">
        <v>2016</v>
      </c>
      <c r="F125" s="2" t="s">
        <v>50</v>
      </c>
      <c r="G125" s="2">
        <v>5</v>
      </c>
      <c r="H125" s="2" t="s">
        <v>5</v>
      </c>
      <c r="I125" s="2" t="str">
        <f>LOOKUP(G125,{1,3,6,9,12},{"Winter","Spring","Summer","Autumn","Winter"})</f>
        <v>Spring</v>
      </c>
      <c r="J125" s="2" t="s">
        <v>291</v>
      </c>
      <c r="K125" s="2">
        <f t="shared" si="1"/>
        <v>2010</v>
      </c>
    </row>
    <row r="126" spans="1:11" ht="25" customHeight="1">
      <c r="A126" s="2">
        <v>1</v>
      </c>
      <c r="B126" s="2" t="s">
        <v>28</v>
      </c>
      <c r="C126" s="4" t="s">
        <v>113</v>
      </c>
      <c r="D126" s="4" t="s">
        <v>194</v>
      </c>
      <c r="E126" s="2">
        <v>2016</v>
      </c>
      <c r="F126" s="2" t="s">
        <v>50</v>
      </c>
      <c r="G126" s="2">
        <v>5</v>
      </c>
      <c r="H126" s="2" t="s">
        <v>5</v>
      </c>
      <c r="I126" s="2" t="str">
        <f>LOOKUP(G126,{1,3,6,9,12},{"Winter","Spring","Summer","Autumn","Winter"})</f>
        <v>Spring</v>
      </c>
      <c r="J126" s="2" t="s">
        <v>291</v>
      </c>
      <c r="K126" s="2">
        <f t="shared" si="1"/>
        <v>2010</v>
      </c>
    </row>
    <row r="127" spans="1:11" ht="25" customHeight="1">
      <c r="A127" s="2">
        <v>1</v>
      </c>
      <c r="B127" s="2" t="s">
        <v>20</v>
      </c>
      <c r="C127" s="4" t="s">
        <v>21</v>
      </c>
      <c r="D127" s="4" t="s">
        <v>195</v>
      </c>
      <c r="E127" s="2">
        <v>2017</v>
      </c>
      <c r="F127" s="2" t="s">
        <v>25</v>
      </c>
      <c r="G127" s="2">
        <v>9</v>
      </c>
      <c r="H127" s="2" t="s">
        <v>1</v>
      </c>
      <c r="I127" s="2" t="str">
        <f>LOOKUP(G127,{1,3,6,9,12},{"Winter","Spring","Summer","Autumn","Winter"})</f>
        <v>Autumn</v>
      </c>
      <c r="J127" s="2" t="s">
        <v>293</v>
      </c>
      <c r="K127" s="2">
        <f t="shared" si="1"/>
        <v>2010</v>
      </c>
    </row>
    <row r="128" spans="1:11" ht="25" customHeight="1">
      <c r="A128" s="2">
        <v>1</v>
      </c>
      <c r="B128" s="2" t="s">
        <v>20</v>
      </c>
      <c r="C128" s="4" t="s">
        <v>21</v>
      </c>
      <c r="D128" s="4" t="s">
        <v>196</v>
      </c>
      <c r="E128" s="2">
        <v>2017</v>
      </c>
      <c r="F128" s="2" t="s">
        <v>25</v>
      </c>
      <c r="G128" s="2">
        <v>9</v>
      </c>
      <c r="H128" s="2" t="s">
        <v>1</v>
      </c>
      <c r="I128" s="2" t="str">
        <f>LOOKUP(G128,{1,3,6,9,12},{"Winter","Spring","Summer","Autumn","Winter"})</f>
        <v>Autumn</v>
      </c>
      <c r="J128" s="2" t="s">
        <v>293</v>
      </c>
      <c r="K128" s="2">
        <f t="shared" si="1"/>
        <v>2010</v>
      </c>
    </row>
    <row r="129" spans="1:11" ht="25" customHeight="1">
      <c r="A129" s="2">
        <v>1</v>
      </c>
      <c r="B129" s="2" t="s">
        <v>80</v>
      </c>
      <c r="C129" s="4" t="s">
        <v>81</v>
      </c>
      <c r="D129" s="4" t="s">
        <v>197</v>
      </c>
      <c r="E129" s="2">
        <v>2017</v>
      </c>
      <c r="F129" s="2" t="s">
        <v>40</v>
      </c>
      <c r="G129" s="2">
        <v>10</v>
      </c>
      <c r="H129" s="2" t="s">
        <v>3</v>
      </c>
      <c r="I129" s="2" t="str">
        <f>LOOKUP(G129,{1,3,6,9,12},{"Winter","Spring","Summer","Autumn","Winter"})</f>
        <v>Autumn</v>
      </c>
      <c r="J129" s="2" t="s">
        <v>293</v>
      </c>
      <c r="K129" s="2">
        <f t="shared" si="1"/>
        <v>2010</v>
      </c>
    </row>
    <row r="130" spans="1:11" ht="25" customHeight="1">
      <c r="A130" s="2">
        <v>1</v>
      </c>
      <c r="B130" s="2" t="s">
        <v>20</v>
      </c>
      <c r="C130" s="4" t="s">
        <v>135</v>
      </c>
      <c r="D130" s="4" t="s">
        <v>198</v>
      </c>
      <c r="E130" s="2">
        <v>2017</v>
      </c>
      <c r="F130" s="2" t="s">
        <v>74</v>
      </c>
      <c r="G130" s="2">
        <v>11</v>
      </c>
      <c r="H130" s="2" t="s">
        <v>7</v>
      </c>
      <c r="I130" s="2" t="str">
        <f>LOOKUP(G130,{1,3,6,9,12},{"Winter","Spring","Summer","Autumn","Winter"})</f>
        <v>Autumn</v>
      </c>
      <c r="J130" s="2" t="s">
        <v>293</v>
      </c>
      <c r="K130" s="2">
        <f t="shared" si="1"/>
        <v>2010</v>
      </c>
    </row>
    <row r="131" spans="1:11" ht="25" customHeight="1">
      <c r="A131" s="2">
        <v>1</v>
      </c>
      <c r="B131" s="2" t="s">
        <v>28</v>
      </c>
      <c r="C131" s="4" t="s">
        <v>88</v>
      </c>
      <c r="D131" s="4" t="s">
        <v>199</v>
      </c>
      <c r="E131" s="2">
        <v>2018</v>
      </c>
      <c r="F131" s="2" t="s">
        <v>78</v>
      </c>
      <c r="G131" s="2">
        <v>6</v>
      </c>
      <c r="H131" s="2" t="s">
        <v>8</v>
      </c>
      <c r="I131" s="2" t="str">
        <f>LOOKUP(G131,{1,3,6,9,12},{"Winter","Spring","Summer","Autumn","Winter"})</f>
        <v>Summer</v>
      </c>
      <c r="J131" s="2" t="s">
        <v>292</v>
      </c>
      <c r="K131" s="2">
        <f t="shared" ref="K131:K195" si="2">ROUNDDOWN(E131/10,0)*10</f>
        <v>2010</v>
      </c>
    </row>
    <row r="132" spans="1:11" ht="25" customHeight="1">
      <c r="A132" s="2">
        <v>2</v>
      </c>
      <c r="B132" s="2" t="s">
        <v>28</v>
      </c>
      <c r="C132" s="4" t="s">
        <v>58</v>
      </c>
      <c r="D132" s="4" t="s">
        <v>200</v>
      </c>
      <c r="E132" s="2">
        <v>2019</v>
      </c>
      <c r="F132" s="2" t="s">
        <v>83</v>
      </c>
      <c r="G132" s="2">
        <v>12</v>
      </c>
      <c r="H132" s="2" t="s">
        <v>9</v>
      </c>
      <c r="I132" s="2" t="str">
        <f>LOOKUP(G132,{1,3,6,9,12},{"Winter","Spring","Summer","Autumn","Winter"})</f>
        <v>Winter</v>
      </c>
      <c r="J132" s="2" t="s">
        <v>294</v>
      </c>
      <c r="K132" s="2">
        <f t="shared" si="2"/>
        <v>2010</v>
      </c>
    </row>
    <row r="133" spans="1:11" ht="25" customHeight="1">
      <c r="A133" s="2">
        <v>1</v>
      </c>
      <c r="B133" s="2" t="s">
        <v>28</v>
      </c>
      <c r="C133" s="4" t="s">
        <v>88</v>
      </c>
      <c r="D133" s="4" t="s">
        <v>201</v>
      </c>
      <c r="E133" s="2">
        <v>2019</v>
      </c>
      <c r="F133" s="2" t="s">
        <v>83</v>
      </c>
      <c r="G133" s="2">
        <v>12</v>
      </c>
      <c r="H133" s="2" t="s">
        <v>9</v>
      </c>
      <c r="I133" s="2" t="str">
        <f>LOOKUP(G133,{1,3,6,9,12},{"Winter","Spring","Summer","Autumn","Winter"})</f>
        <v>Winter</v>
      </c>
      <c r="J133" s="2" t="s">
        <v>294</v>
      </c>
      <c r="K133" s="2">
        <f t="shared" si="2"/>
        <v>2010</v>
      </c>
    </row>
    <row r="134" spans="1:11" ht="25" customHeight="1">
      <c r="A134" s="2">
        <v>1</v>
      </c>
      <c r="B134" s="2" t="s">
        <v>28</v>
      </c>
      <c r="C134" s="4" t="s">
        <v>166</v>
      </c>
      <c r="D134" s="4" t="s">
        <v>202</v>
      </c>
      <c r="E134" s="2">
        <v>2019</v>
      </c>
      <c r="F134" s="2" t="s">
        <v>83</v>
      </c>
      <c r="G134" s="2">
        <v>12</v>
      </c>
      <c r="H134" s="2" t="s">
        <v>9</v>
      </c>
      <c r="I134" s="2" t="str">
        <f>LOOKUP(G134,{1,3,6,9,12},{"Winter","Spring","Summer","Autumn","Winter"})</f>
        <v>Winter</v>
      </c>
      <c r="J134" s="2" t="s">
        <v>294</v>
      </c>
      <c r="K134" s="2">
        <f t="shared" si="2"/>
        <v>2010</v>
      </c>
    </row>
    <row r="135" spans="1:11" ht="25" customHeight="1">
      <c r="A135" s="2">
        <v>1</v>
      </c>
      <c r="B135" s="2" t="s">
        <v>20</v>
      </c>
      <c r="C135" s="4" t="s">
        <v>135</v>
      </c>
      <c r="D135" s="4" t="s">
        <v>203</v>
      </c>
      <c r="E135" s="2">
        <v>2019</v>
      </c>
      <c r="F135" s="2" t="s">
        <v>83</v>
      </c>
      <c r="G135" s="2">
        <v>12</v>
      </c>
      <c r="H135" s="2" t="s">
        <v>9</v>
      </c>
      <c r="I135" s="2" t="str">
        <f>LOOKUP(G135,{1,3,6,9,12},{"Winter","Spring","Summer","Autumn","Winter"})</f>
        <v>Winter</v>
      </c>
      <c r="J135" s="2" t="s">
        <v>294</v>
      </c>
      <c r="K135" s="2">
        <f t="shared" si="2"/>
        <v>2010</v>
      </c>
    </row>
    <row r="136" spans="1:11" ht="25" customHeight="1">
      <c r="A136" s="2">
        <v>2</v>
      </c>
      <c r="B136" s="2" t="s">
        <v>20</v>
      </c>
      <c r="C136" s="4" t="s">
        <v>135</v>
      </c>
      <c r="D136" s="4" t="s">
        <v>204</v>
      </c>
      <c r="E136" s="2">
        <v>2020</v>
      </c>
      <c r="F136" s="2" t="s">
        <v>27</v>
      </c>
      <c r="G136" s="2">
        <v>8</v>
      </c>
      <c r="H136" s="2" t="s">
        <v>2</v>
      </c>
      <c r="I136" s="2" t="str">
        <f>LOOKUP(G136,{1,3,6,9,12},{"Winter","Spring","Summer","Autumn","Winter"})</f>
        <v>Summer</v>
      </c>
      <c r="J136" s="2" t="s">
        <v>292</v>
      </c>
      <c r="K136" s="2">
        <f t="shared" si="2"/>
        <v>2020</v>
      </c>
    </row>
    <row r="137" spans="1:11" ht="25" customHeight="1">
      <c r="A137" s="2">
        <v>1</v>
      </c>
      <c r="B137" s="2" t="s">
        <v>20</v>
      </c>
      <c r="C137" s="4" t="s">
        <v>135</v>
      </c>
      <c r="D137" s="4" t="s">
        <v>205</v>
      </c>
      <c r="E137" s="2">
        <v>2020</v>
      </c>
      <c r="F137" s="2" t="s">
        <v>74</v>
      </c>
      <c r="G137" s="2">
        <v>11</v>
      </c>
      <c r="H137" s="2" t="s">
        <v>7</v>
      </c>
      <c r="I137" s="2" t="str">
        <f>LOOKUP(G137,{1,3,6,9,12},{"Winter","Spring","Summer","Autumn","Winter"})</f>
        <v>Autumn</v>
      </c>
      <c r="J137" s="2" t="s">
        <v>293</v>
      </c>
      <c r="K137" s="2">
        <f t="shared" si="2"/>
        <v>2020</v>
      </c>
    </row>
    <row r="138" spans="1:11" ht="25" customHeight="1">
      <c r="A138" s="2">
        <v>2</v>
      </c>
      <c r="B138" s="2" t="s">
        <v>20</v>
      </c>
      <c r="C138" s="4" t="s">
        <v>135</v>
      </c>
      <c r="D138" s="4" t="s">
        <v>206</v>
      </c>
      <c r="E138" s="2">
        <v>2020</v>
      </c>
      <c r="F138" s="2" t="s">
        <v>74</v>
      </c>
      <c r="G138" s="2">
        <v>11</v>
      </c>
      <c r="H138" s="2" t="s">
        <v>7</v>
      </c>
      <c r="I138" s="2" t="str">
        <f>LOOKUP(G138,{1,3,6,9,12},{"Winter","Spring","Summer","Autumn","Winter"})</f>
        <v>Autumn</v>
      </c>
      <c r="J138" s="2" t="s">
        <v>293</v>
      </c>
      <c r="K138" s="2">
        <f t="shared" si="2"/>
        <v>2020</v>
      </c>
    </row>
    <row r="139" spans="1:11" ht="25" customHeight="1">
      <c r="A139" s="2">
        <v>1</v>
      </c>
      <c r="B139" s="2" t="s">
        <v>37</v>
      </c>
      <c r="C139" s="4" t="s">
        <v>38</v>
      </c>
      <c r="D139" s="4" t="s">
        <v>207</v>
      </c>
      <c r="E139" s="2">
        <v>2020</v>
      </c>
      <c r="F139" s="2" t="s">
        <v>83</v>
      </c>
      <c r="G139" s="2">
        <v>12</v>
      </c>
      <c r="H139" s="2" t="s">
        <v>9</v>
      </c>
      <c r="I139" s="2" t="str">
        <f>LOOKUP(G139,{1,3,6,9,12},{"Winter","Spring","Summer","Autumn","Winter"})</f>
        <v>Winter</v>
      </c>
      <c r="J139" s="2" t="s">
        <v>294</v>
      </c>
      <c r="K139" s="2">
        <f t="shared" si="2"/>
        <v>2020</v>
      </c>
    </row>
    <row r="140" spans="1:11" ht="25" customHeight="1">
      <c r="A140" s="2">
        <v>9</v>
      </c>
      <c r="B140" s="2" t="s">
        <v>28</v>
      </c>
      <c r="C140" s="4" t="s">
        <v>208</v>
      </c>
      <c r="D140" s="4" t="s">
        <v>209</v>
      </c>
      <c r="E140" s="2">
        <v>2020</v>
      </c>
      <c r="F140" s="2" t="s">
        <v>83</v>
      </c>
      <c r="G140" s="2">
        <v>12</v>
      </c>
      <c r="H140" s="2" t="s">
        <v>9</v>
      </c>
      <c r="I140" s="2" t="str">
        <f>LOOKUP(G140,{1,3,6,9,12},{"Winter","Spring","Summer","Autumn","Winter"})</f>
        <v>Winter</v>
      </c>
      <c r="J140" s="2" t="s">
        <v>294</v>
      </c>
      <c r="K140" s="2">
        <f t="shared" si="2"/>
        <v>2020</v>
      </c>
    </row>
    <row r="141" spans="1:11" ht="25" customHeight="1">
      <c r="A141" s="2">
        <v>1</v>
      </c>
      <c r="B141" s="2" t="s">
        <v>28</v>
      </c>
      <c r="C141" s="4" t="s">
        <v>44</v>
      </c>
      <c r="D141" s="4" t="s">
        <v>210</v>
      </c>
      <c r="E141" s="2">
        <v>2020</v>
      </c>
      <c r="F141" s="2" t="s">
        <v>83</v>
      </c>
      <c r="G141" s="2">
        <v>12</v>
      </c>
      <c r="H141" s="2" t="s">
        <v>9</v>
      </c>
      <c r="I141" s="2" t="str">
        <f>LOOKUP(G141,{1,3,6,9,12},{"Winter","Spring","Summer","Autumn","Winter"})</f>
        <v>Winter</v>
      </c>
      <c r="J141" s="2" t="s">
        <v>294</v>
      </c>
      <c r="K141" s="2">
        <f t="shared" si="2"/>
        <v>2020</v>
      </c>
    </row>
    <row r="142" spans="1:11" ht="25" customHeight="1">
      <c r="A142" s="2">
        <v>2</v>
      </c>
      <c r="B142" s="2" t="s">
        <v>28</v>
      </c>
      <c r="C142" s="4" t="s">
        <v>113</v>
      </c>
      <c r="D142" s="4" t="s">
        <v>211</v>
      </c>
      <c r="E142" s="2">
        <v>2020</v>
      </c>
      <c r="F142" s="2" t="s">
        <v>83</v>
      </c>
      <c r="G142" s="2">
        <v>12</v>
      </c>
      <c r="H142" s="2" t="s">
        <v>9</v>
      </c>
      <c r="I142" s="2" t="str">
        <f>LOOKUP(G142,{1,3,6,9,12},{"Winter","Spring","Summer","Autumn","Winter"})</f>
        <v>Winter</v>
      </c>
      <c r="J142" s="2" t="s">
        <v>294</v>
      </c>
      <c r="K142" s="2">
        <f t="shared" si="2"/>
        <v>2020</v>
      </c>
    </row>
    <row r="143" spans="1:11" ht="25" customHeight="1">
      <c r="A143" s="2">
        <v>1</v>
      </c>
      <c r="B143" s="2" t="s">
        <v>28</v>
      </c>
      <c r="C143" s="4" t="s">
        <v>166</v>
      </c>
      <c r="D143" s="4" t="s">
        <v>205</v>
      </c>
      <c r="E143" s="2">
        <v>2020</v>
      </c>
      <c r="F143" s="2" t="s">
        <v>83</v>
      </c>
      <c r="G143" s="2">
        <v>12</v>
      </c>
      <c r="H143" s="2" t="s">
        <v>9</v>
      </c>
      <c r="I143" s="2" t="str">
        <f>LOOKUP(G143,{1,3,6,9,12},{"Winter","Spring","Summer","Autumn","Winter"})</f>
        <v>Winter</v>
      </c>
      <c r="J143" s="2" t="s">
        <v>294</v>
      </c>
      <c r="K143" s="2">
        <f t="shared" si="2"/>
        <v>2020</v>
      </c>
    </row>
    <row r="144" spans="1:11" ht="25" customHeight="1">
      <c r="A144" s="2">
        <v>1</v>
      </c>
      <c r="B144" s="2" t="s">
        <v>37</v>
      </c>
      <c r="C144" s="4" t="s">
        <v>38</v>
      </c>
      <c r="D144" s="4" t="s">
        <v>212</v>
      </c>
      <c r="E144" s="2">
        <v>2021</v>
      </c>
      <c r="F144" s="2" t="s">
        <v>63</v>
      </c>
      <c r="G144" s="2">
        <v>1</v>
      </c>
      <c r="H144" s="2" t="s">
        <v>6</v>
      </c>
      <c r="I144" s="2" t="str">
        <f>LOOKUP(G144,{1,3,6,9,12},{"Winter","Spring","Summer","Autumn","Winter"})</f>
        <v>Winter</v>
      </c>
      <c r="J144" s="2" t="s">
        <v>294</v>
      </c>
      <c r="K144" s="2">
        <f t="shared" si="2"/>
        <v>2020</v>
      </c>
    </row>
    <row r="145" spans="1:11" ht="25" customHeight="1">
      <c r="A145" s="2">
        <v>3</v>
      </c>
      <c r="B145" s="2" t="s">
        <v>37</v>
      </c>
      <c r="C145" s="4" t="s">
        <v>38</v>
      </c>
      <c r="D145" s="4" t="s">
        <v>213</v>
      </c>
      <c r="E145" s="2">
        <v>2021</v>
      </c>
      <c r="F145" s="2" t="s">
        <v>63</v>
      </c>
      <c r="G145" s="2">
        <v>1</v>
      </c>
      <c r="H145" s="2" t="s">
        <v>6</v>
      </c>
      <c r="I145" s="2" t="str">
        <f>LOOKUP(G145,{1,3,6,9,12},{"Winter","Spring","Summer","Autumn","Winter"})</f>
        <v>Winter</v>
      </c>
      <c r="J145" s="2" t="s">
        <v>294</v>
      </c>
      <c r="K145" s="2">
        <f t="shared" si="2"/>
        <v>2020</v>
      </c>
    </row>
    <row r="146" spans="1:11" ht="25" customHeight="1">
      <c r="A146" s="2">
        <v>2</v>
      </c>
      <c r="B146" s="2" t="s">
        <v>28</v>
      </c>
      <c r="C146" s="4" t="s">
        <v>113</v>
      </c>
      <c r="D146" s="4" t="s">
        <v>214</v>
      </c>
      <c r="E146" s="2">
        <v>2021</v>
      </c>
      <c r="F146" s="2" t="s">
        <v>63</v>
      </c>
      <c r="G146" s="2">
        <v>1</v>
      </c>
      <c r="H146" s="2" t="s">
        <v>6</v>
      </c>
      <c r="I146" s="2" t="str">
        <f>LOOKUP(G146,{1,3,6,9,12},{"Winter","Spring","Summer","Autumn","Winter"})</f>
        <v>Winter</v>
      </c>
      <c r="J146" s="2" t="s">
        <v>294</v>
      </c>
      <c r="K146" s="2">
        <f t="shared" si="2"/>
        <v>2020</v>
      </c>
    </row>
    <row r="147" spans="1:11" ht="25" customHeight="1">
      <c r="A147" s="2">
        <v>1</v>
      </c>
      <c r="B147" s="2" t="s">
        <v>28</v>
      </c>
      <c r="C147" s="4" t="s">
        <v>113</v>
      </c>
      <c r="D147" s="4" t="s">
        <v>215</v>
      </c>
      <c r="E147" s="2">
        <v>2021</v>
      </c>
      <c r="F147" s="2" t="s">
        <v>63</v>
      </c>
      <c r="G147" s="2">
        <v>1</v>
      </c>
      <c r="H147" s="2" t="s">
        <v>6</v>
      </c>
      <c r="I147" s="2" t="str">
        <f>LOOKUP(G147,{1,3,6,9,12},{"Winter","Spring","Summer","Autumn","Winter"})</f>
        <v>Winter</v>
      </c>
      <c r="J147" s="2" t="s">
        <v>294</v>
      </c>
      <c r="K147" s="2">
        <f t="shared" si="2"/>
        <v>2020</v>
      </c>
    </row>
    <row r="148" spans="1:11" ht="25" customHeight="1">
      <c r="A148" s="2">
        <v>1</v>
      </c>
      <c r="B148" s="2" t="s">
        <v>37</v>
      </c>
      <c r="C148" s="4" t="s">
        <v>164</v>
      </c>
      <c r="D148" s="4" t="s">
        <v>216</v>
      </c>
      <c r="E148" s="2">
        <v>2021</v>
      </c>
      <c r="F148" s="2" t="s">
        <v>43</v>
      </c>
      <c r="G148" s="2">
        <v>2</v>
      </c>
      <c r="H148" s="2" t="s">
        <v>4</v>
      </c>
      <c r="I148" s="2" t="str">
        <f>LOOKUP(G148,{1,3,6,9,12},{"Winter","Spring","Summer","Autumn","Winter"})</f>
        <v>Winter</v>
      </c>
      <c r="J148" s="2" t="s">
        <v>294</v>
      </c>
      <c r="K148" s="2">
        <f t="shared" si="2"/>
        <v>2020</v>
      </c>
    </row>
    <row r="149" spans="1:11" ht="25" customHeight="1">
      <c r="A149" s="2">
        <v>1</v>
      </c>
      <c r="B149" s="2" t="s">
        <v>28</v>
      </c>
      <c r="C149" s="4" t="s">
        <v>113</v>
      </c>
      <c r="D149" s="4" t="s">
        <v>217</v>
      </c>
      <c r="E149" s="2">
        <v>2021</v>
      </c>
      <c r="F149" s="2" t="s">
        <v>86</v>
      </c>
      <c r="G149" s="2">
        <v>3</v>
      </c>
      <c r="H149" s="2" t="s">
        <v>10</v>
      </c>
      <c r="I149" s="2" t="str">
        <f>LOOKUP(G149,{1,3,6,9,12},{"Winter","Spring","Summer","Autumn","Winter"})</f>
        <v>Spring</v>
      </c>
      <c r="J149" s="2" t="s">
        <v>291</v>
      </c>
      <c r="K149" s="2">
        <f t="shared" si="2"/>
        <v>2020</v>
      </c>
    </row>
    <row r="150" spans="1:11" ht="25" customHeight="1">
      <c r="A150" s="2">
        <v>1</v>
      </c>
      <c r="B150" s="2" t="s">
        <v>28</v>
      </c>
      <c r="C150" s="4" t="s">
        <v>98</v>
      </c>
      <c r="D150" s="4" t="s">
        <v>218</v>
      </c>
      <c r="E150" s="2">
        <v>2021</v>
      </c>
      <c r="F150" s="2" t="s">
        <v>86</v>
      </c>
      <c r="G150" s="2">
        <v>3</v>
      </c>
      <c r="H150" s="2" t="s">
        <v>10</v>
      </c>
      <c r="I150" s="2" t="str">
        <f>LOOKUP(G150,{1,3,6,9,12},{"Winter","Spring","Summer","Autumn","Winter"})</f>
        <v>Spring</v>
      </c>
      <c r="J150" s="2" t="s">
        <v>291</v>
      </c>
      <c r="K150" s="2">
        <f t="shared" si="2"/>
        <v>2020</v>
      </c>
    </row>
    <row r="151" spans="1:11" ht="25" customHeight="1">
      <c r="A151" s="2">
        <v>1</v>
      </c>
      <c r="B151" s="2" t="s">
        <v>80</v>
      </c>
      <c r="C151" s="4" t="s">
        <v>150</v>
      </c>
      <c r="D151" s="4" t="s">
        <v>219</v>
      </c>
      <c r="E151" s="2">
        <v>2021</v>
      </c>
      <c r="F151" s="2" t="s">
        <v>23</v>
      </c>
      <c r="G151" s="2">
        <v>4</v>
      </c>
      <c r="H151" s="2" t="s">
        <v>0</v>
      </c>
      <c r="I151" s="2" t="str">
        <f>LOOKUP(G151,{1,3,6,9,12},{"Winter","Spring","Summer","Autumn","Winter"})</f>
        <v>Spring</v>
      </c>
      <c r="J151" s="2" t="s">
        <v>291</v>
      </c>
      <c r="K151" s="2">
        <f t="shared" si="2"/>
        <v>2020</v>
      </c>
    </row>
    <row r="152" spans="1:11" ht="25" customHeight="1">
      <c r="A152" s="2">
        <v>1</v>
      </c>
      <c r="B152" s="2" t="s">
        <v>80</v>
      </c>
      <c r="C152" s="4" t="s">
        <v>150</v>
      </c>
      <c r="D152" s="4" t="s">
        <v>220</v>
      </c>
      <c r="E152" s="2">
        <v>2021</v>
      </c>
      <c r="F152" s="2" t="s">
        <v>78</v>
      </c>
      <c r="G152" s="2">
        <v>6</v>
      </c>
      <c r="H152" s="2" t="s">
        <v>8</v>
      </c>
      <c r="I152" s="2" t="str">
        <f>LOOKUP(G152,{1,3,6,9,12},{"Winter","Spring","Summer","Autumn","Winter"})</f>
        <v>Summer</v>
      </c>
      <c r="J152" s="2" t="s">
        <v>292</v>
      </c>
      <c r="K152" s="2">
        <f t="shared" si="2"/>
        <v>2020</v>
      </c>
    </row>
    <row r="153" spans="1:11" ht="25" customHeight="1">
      <c r="A153" s="2">
        <v>3</v>
      </c>
      <c r="B153" s="2" t="s">
        <v>20</v>
      </c>
      <c r="C153" s="4" t="s">
        <v>135</v>
      </c>
      <c r="D153" s="4" t="s">
        <v>221</v>
      </c>
      <c r="E153" s="2">
        <v>2021</v>
      </c>
      <c r="F153" s="2" t="s">
        <v>183</v>
      </c>
      <c r="G153" s="2">
        <v>7</v>
      </c>
      <c r="H153" s="2" t="s">
        <v>11</v>
      </c>
      <c r="I153" s="2" t="str">
        <f>LOOKUP(G153,{1,3,6,9,12},{"Winter","Spring","Summer","Autumn","Winter"})</f>
        <v>Summer</v>
      </c>
      <c r="J153" s="2" t="s">
        <v>292</v>
      </c>
      <c r="K153" s="2">
        <f t="shared" si="2"/>
        <v>2020</v>
      </c>
    </row>
    <row r="154" spans="1:11" ht="25" customHeight="1">
      <c r="A154" s="2">
        <v>4</v>
      </c>
      <c r="B154" s="2" t="s">
        <v>20</v>
      </c>
      <c r="C154" s="4" t="s">
        <v>135</v>
      </c>
      <c r="D154" s="4" t="s">
        <v>222</v>
      </c>
      <c r="E154" s="2">
        <v>2021</v>
      </c>
      <c r="F154" s="2" t="s">
        <v>27</v>
      </c>
      <c r="G154" s="2">
        <v>8</v>
      </c>
      <c r="H154" s="2" t="s">
        <v>2</v>
      </c>
      <c r="I154" s="2" t="str">
        <f>LOOKUP(G154,{1,3,6,9,12},{"Winter","Spring","Summer","Autumn","Winter"})</f>
        <v>Summer</v>
      </c>
      <c r="J154" s="2" t="s">
        <v>292</v>
      </c>
      <c r="K154" s="2">
        <f t="shared" si="2"/>
        <v>2020</v>
      </c>
    </row>
    <row r="155" spans="1:11" ht="25" customHeight="1">
      <c r="A155" s="2">
        <v>1</v>
      </c>
      <c r="B155" s="2" t="s">
        <v>28</v>
      </c>
      <c r="C155" s="4" t="s">
        <v>113</v>
      </c>
      <c r="D155" s="4" t="s">
        <v>223</v>
      </c>
      <c r="E155" s="2">
        <v>2021</v>
      </c>
      <c r="F155" s="2" t="s">
        <v>27</v>
      </c>
      <c r="G155" s="2">
        <v>8</v>
      </c>
      <c r="H155" s="2" t="s">
        <v>2</v>
      </c>
      <c r="I155" s="2" t="str">
        <f>LOOKUP(G155,{1,3,6,9,12},{"Winter","Spring","Summer","Autumn","Winter"})</f>
        <v>Summer</v>
      </c>
      <c r="J155" s="2" t="s">
        <v>292</v>
      </c>
      <c r="K155" s="2">
        <f t="shared" si="2"/>
        <v>2020</v>
      </c>
    </row>
    <row r="156" spans="1:11" ht="25" customHeight="1">
      <c r="A156" s="2">
        <v>1</v>
      </c>
      <c r="B156" s="2" t="s">
        <v>28</v>
      </c>
      <c r="C156" s="4" t="s">
        <v>113</v>
      </c>
      <c r="D156" s="4" t="s">
        <v>224</v>
      </c>
      <c r="E156" s="2">
        <v>2021</v>
      </c>
      <c r="F156" s="2" t="s">
        <v>25</v>
      </c>
      <c r="G156" s="2">
        <v>9</v>
      </c>
      <c r="H156" s="2" t="s">
        <v>1</v>
      </c>
      <c r="I156" s="2" t="str">
        <f>LOOKUP(G156,{1,3,6,9,12},{"Winter","Spring","Summer","Autumn","Winter"})</f>
        <v>Autumn</v>
      </c>
      <c r="J156" s="2" t="s">
        <v>293</v>
      </c>
      <c r="K156" s="2">
        <f t="shared" si="2"/>
        <v>2020</v>
      </c>
    </row>
    <row r="157" spans="1:11" ht="25" customHeight="1">
      <c r="A157" s="2">
        <v>1</v>
      </c>
      <c r="B157" s="2" t="s">
        <v>37</v>
      </c>
      <c r="C157" s="4" t="s">
        <v>38</v>
      </c>
      <c r="D157" s="4" t="s">
        <v>225</v>
      </c>
      <c r="E157" s="2">
        <v>2021</v>
      </c>
      <c r="F157" s="2" t="s">
        <v>25</v>
      </c>
      <c r="G157" s="2">
        <v>9</v>
      </c>
      <c r="H157" s="2" t="s">
        <v>1</v>
      </c>
      <c r="I157" s="2" t="str">
        <f>LOOKUP(G157,{1,3,6,9,12},{"Winter","Spring","Summer","Autumn","Winter"})</f>
        <v>Autumn</v>
      </c>
      <c r="J157" s="2" t="s">
        <v>293</v>
      </c>
      <c r="K157" s="2">
        <f t="shared" si="2"/>
        <v>2020</v>
      </c>
    </row>
    <row r="158" spans="1:11" ht="25" customHeight="1">
      <c r="A158" s="2">
        <v>1</v>
      </c>
      <c r="B158" s="2" t="s">
        <v>37</v>
      </c>
      <c r="C158" s="4" t="s">
        <v>38</v>
      </c>
      <c r="D158" s="4" t="s">
        <v>226</v>
      </c>
      <c r="E158" s="2">
        <v>2021</v>
      </c>
      <c r="F158" s="2" t="s">
        <v>25</v>
      </c>
      <c r="G158" s="2">
        <v>9</v>
      </c>
      <c r="H158" s="2" t="s">
        <v>1</v>
      </c>
      <c r="I158" s="2" t="str">
        <f>LOOKUP(G158,{1,3,6,9,12},{"Winter","Spring","Summer","Autumn","Winter"})</f>
        <v>Autumn</v>
      </c>
      <c r="J158" s="2" t="s">
        <v>293</v>
      </c>
      <c r="K158" s="2">
        <f t="shared" si="2"/>
        <v>2020</v>
      </c>
    </row>
    <row r="159" spans="1:11" ht="25" customHeight="1">
      <c r="A159" s="2">
        <v>9</v>
      </c>
      <c r="B159" s="2" t="s">
        <v>20</v>
      </c>
      <c r="C159" s="4" t="s">
        <v>135</v>
      </c>
      <c r="D159" s="4" t="s">
        <v>227</v>
      </c>
      <c r="E159" s="2">
        <v>2021</v>
      </c>
      <c r="F159" s="2" t="s">
        <v>25</v>
      </c>
      <c r="G159" s="2">
        <v>9</v>
      </c>
      <c r="H159" s="2" t="s">
        <v>1</v>
      </c>
      <c r="I159" s="2" t="str">
        <f>LOOKUP(G159,{1,3,6,9,12},{"Winter","Spring","Summer","Autumn","Winter"})</f>
        <v>Autumn</v>
      </c>
      <c r="J159" s="2" t="s">
        <v>293</v>
      </c>
      <c r="K159" s="2">
        <f t="shared" si="2"/>
        <v>2020</v>
      </c>
    </row>
    <row r="160" spans="1:11" ht="25" customHeight="1">
      <c r="A160" s="2">
        <v>6</v>
      </c>
      <c r="B160" s="2" t="s">
        <v>20</v>
      </c>
      <c r="C160" s="4" t="s">
        <v>135</v>
      </c>
      <c r="D160" s="4" t="s">
        <v>228</v>
      </c>
      <c r="E160" s="2">
        <v>2021</v>
      </c>
      <c r="F160" s="2" t="s">
        <v>25</v>
      </c>
      <c r="G160" s="2">
        <v>9</v>
      </c>
      <c r="H160" s="2" t="s">
        <v>1</v>
      </c>
      <c r="I160" s="2" t="str">
        <f>LOOKUP(G160,{1,3,6,9,12},{"Winter","Spring","Summer","Autumn","Winter"})</f>
        <v>Autumn</v>
      </c>
      <c r="J160" s="2" t="s">
        <v>293</v>
      </c>
      <c r="K160" s="2">
        <f t="shared" si="2"/>
        <v>2020</v>
      </c>
    </row>
    <row r="161" spans="1:11" ht="25" customHeight="1">
      <c r="A161" s="2">
        <v>1</v>
      </c>
      <c r="B161" s="2" t="s">
        <v>28</v>
      </c>
      <c r="C161" s="4" t="s">
        <v>113</v>
      </c>
      <c r="D161" s="4" t="s">
        <v>114</v>
      </c>
      <c r="E161" s="2">
        <v>2021</v>
      </c>
      <c r="F161" s="2" t="s">
        <v>25</v>
      </c>
      <c r="G161" s="2">
        <v>9</v>
      </c>
      <c r="H161" s="2" t="s">
        <v>1</v>
      </c>
      <c r="I161" s="2" t="str">
        <f>LOOKUP(G161,{1,3,6,9,12},{"Winter","Spring","Summer","Autumn","Winter"})</f>
        <v>Autumn</v>
      </c>
      <c r="J161" s="2" t="s">
        <v>293</v>
      </c>
      <c r="K161" s="2">
        <f t="shared" si="2"/>
        <v>2020</v>
      </c>
    </row>
    <row r="162" spans="1:11" ht="25" customHeight="1">
      <c r="A162" s="2">
        <v>1</v>
      </c>
      <c r="B162" s="2" t="s">
        <v>28</v>
      </c>
      <c r="C162" s="4" t="s">
        <v>113</v>
      </c>
      <c r="D162" s="4" t="s">
        <v>229</v>
      </c>
      <c r="E162" s="2">
        <v>2021</v>
      </c>
      <c r="F162" s="2" t="s">
        <v>25</v>
      </c>
      <c r="G162" s="2">
        <v>9</v>
      </c>
      <c r="H162" s="2" t="s">
        <v>1</v>
      </c>
      <c r="I162" s="2" t="str">
        <f>LOOKUP(G162,{1,3,6,9,12},{"Winter","Spring","Summer","Autumn","Winter"})</f>
        <v>Autumn</v>
      </c>
      <c r="J162" s="2" t="s">
        <v>293</v>
      </c>
      <c r="K162" s="2">
        <f t="shared" si="2"/>
        <v>2020</v>
      </c>
    </row>
    <row r="163" spans="1:11" ht="25" customHeight="1">
      <c r="A163" s="2">
        <v>1</v>
      </c>
      <c r="B163" s="2" t="s">
        <v>20</v>
      </c>
      <c r="C163" s="4" t="s">
        <v>21</v>
      </c>
      <c r="D163" s="4" t="s">
        <v>230</v>
      </c>
      <c r="E163" s="2">
        <v>2021</v>
      </c>
      <c r="F163" s="2" t="s">
        <v>40</v>
      </c>
      <c r="G163" s="2">
        <v>10</v>
      </c>
      <c r="H163" s="2" t="s">
        <v>3</v>
      </c>
      <c r="I163" s="2" t="str">
        <f>LOOKUP(G163,{1,3,6,9,12},{"Winter","Spring","Summer","Autumn","Winter"})</f>
        <v>Autumn</v>
      </c>
      <c r="J163" s="2" t="s">
        <v>293</v>
      </c>
      <c r="K163" s="2">
        <f t="shared" si="2"/>
        <v>2020</v>
      </c>
    </row>
    <row r="164" spans="1:11" ht="25" customHeight="1">
      <c r="A164" s="2">
        <v>2</v>
      </c>
      <c r="B164" s="2" t="s">
        <v>20</v>
      </c>
      <c r="C164" s="4" t="s">
        <v>135</v>
      </c>
      <c r="D164" s="4" t="s">
        <v>231</v>
      </c>
      <c r="E164" s="2">
        <v>2021</v>
      </c>
      <c r="F164" s="2" t="s">
        <v>74</v>
      </c>
      <c r="G164" s="2">
        <v>11</v>
      </c>
      <c r="H164" s="2" t="s">
        <v>7</v>
      </c>
      <c r="I164" s="2" t="str">
        <f>LOOKUP(G164,{1,3,6,9,12},{"Winter","Spring","Summer","Autumn","Winter"})</f>
        <v>Autumn</v>
      </c>
      <c r="J164" s="2" t="s">
        <v>293</v>
      </c>
      <c r="K164" s="2">
        <f t="shared" si="2"/>
        <v>2020</v>
      </c>
    </row>
    <row r="165" spans="1:11" ht="25" customHeight="1">
      <c r="A165" s="2">
        <v>1</v>
      </c>
      <c r="B165" s="2" t="s">
        <v>20</v>
      </c>
      <c r="C165" s="4" t="s">
        <v>21</v>
      </c>
      <c r="D165" s="4" t="s">
        <v>232</v>
      </c>
      <c r="E165" s="2">
        <v>2022</v>
      </c>
      <c r="F165" s="2" t="s">
        <v>23</v>
      </c>
      <c r="G165" s="2">
        <v>4</v>
      </c>
      <c r="H165" s="2" t="s">
        <v>0</v>
      </c>
      <c r="I165" s="2" t="str">
        <f>LOOKUP(G165,{1,3,6,9,12},{"Winter","Spring","Summer","Autumn","Winter"})</f>
        <v>Spring</v>
      </c>
      <c r="J165" s="2" t="s">
        <v>291</v>
      </c>
      <c r="K165" s="2">
        <f t="shared" si="2"/>
        <v>2020</v>
      </c>
    </row>
    <row r="166" spans="1:11" ht="25" customHeight="1">
      <c r="A166" s="2">
        <v>1</v>
      </c>
      <c r="B166" s="2" t="s">
        <v>28</v>
      </c>
      <c r="C166" s="4" t="s">
        <v>166</v>
      </c>
      <c r="D166" s="4" t="s">
        <v>233</v>
      </c>
      <c r="E166" s="2">
        <v>2022</v>
      </c>
      <c r="F166" s="2" t="s">
        <v>50</v>
      </c>
      <c r="G166" s="2">
        <v>5</v>
      </c>
      <c r="H166" s="2" t="s">
        <v>5</v>
      </c>
      <c r="I166" s="2" t="str">
        <f>LOOKUP(G166,{1,3,6,9,12},{"Winter","Spring","Summer","Autumn","Winter"})</f>
        <v>Spring</v>
      </c>
      <c r="J166" s="2" t="s">
        <v>291</v>
      </c>
      <c r="K166" s="2">
        <f t="shared" si="2"/>
        <v>2020</v>
      </c>
    </row>
    <row r="167" spans="1:11" ht="25" customHeight="1">
      <c r="A167" s="2">
        <v>1</v>
      </c>
      <c r="B167" s="2" t="s">
        <v>37</v>
      </c>
      <c r="C167" s="4" t="s">
        <v>38</v>
      </c>
      <c r="D167" s="4" t="s">
        <v>234</v>
      </c>
      <c r="E167" s="2">
        <v>2022</v>
      </c>
      <c r="F167" s="2" t="s">
        <v>183</v>
      </c>
      <c r="G167" s="2">
        <v>7</v>
      </c>
      <c r="H167" s="2" t="s">
        <v>11</v>
      </c>
      <c r="I167" s="2" t="str">
        <f>LOOKUP(G167,{1,3,6,9,12},{"Winter","Spring","Summer","Autumn","Winter"})</f>
        <v>Summer</v>
      </c>
      <c r="J167" s="2" t="s">
        <v>292</v>
      </c>
      <c r="K167" s="2">
        <f t="shared" si="2"/>
        <v>2020</v>
      </c>
    </row>
    <row r="168" spans="1:11" ht="25" customHeight="1">
      <c r="A168" s="2">
        <v>1</v>
      </c>
      <c r="B168" s="2" t="s">
        <v>28</v>
      </c>
      <c r="C168" s="4" t="s">
        <v>235</v>
      </c>
      <c r="D168" s="4" t="s">
        <v>236</v>
      </c>
      <c r="E168" s="2">
        <v>2022</v>
      </c>
      <c r="F168" s="2" t="s">
        <v>25</v>
      </c>
      <c r="G168" s="2">
        <v>9</v>
      </c>
      <c r="H168" s="2" t="s">
        <v>1</v>
      </c>
      <c r="I168" s="2" t="str">
        <f>LOOKUP(G168,{1,3,6,9,12},{"Winter","Spring","Summer","Autumn","Winter"})</f>
        <v>Autumn</v>
      </c>
      <c r="J168" s="2" t="s">
        <v>293</v>
      </c>
      <c r="K168" s="2">
        <f t="shared" si="2"/>
        <v>2020</v>
      </c>
    </row>
    <row r="169" spans="1:11" ht="25" customHeight="1">
      <c r="A169" s="2">
        <v>1</v>
      </c>
      <c r="B169" s="2" t="s">
        <v>28</v>
      </c>
      <c r="C169" s="4" t="s">
        <v>51</v>
      </c>
      <c r="D169" s="4" t="s">
        <v>237</v>
      </c>
      <c r="E169" s="2">
        <v>2022</v>
      </c>
      <c r="F169" s="2" t="s">
        <v>25</v>
      </c>
      <c r="G169" s="2">
        <v>9</v>
      </c>
      <c r="H169" s="2" t="s">
        <v>1</v>
      </c>
      <c r="I169" s="2" t="str">
        <f>LOOKUP(G169,{1,3,6,9,12},{"Winter","Spring","Summer","Autumn","Winter"})</f>
        <v>Autumn</v>
      </c>
      <c r="J169" s="2" t="s">
        <v>293</v>
      </c>
      <c r="K169" s="2">
        <f t="shared" si="2"/>
        <v>2020</v>
      </c>
    </row>
    <row r="170" spans="1:11" ht="25" customHeight="1">
      <c r="A170" s="2">
        <v>1</v>
      </c>
      <c r="B170" s="2" t="s">
        <v>28</v>
      </c>
      <c r="C170" s="4" t="s">
        <v>88</v>
      </c>
      <c r="D170" s="4" t="s">
        <v>199</v>
      </c>
      <c r="E170" s="2">
        <v>2022</v>
      </c>
      <c r="F170" s="2" t="s">
        <v>40</v>
      </c>
      <c r="G170" s="2">
        <v>10</v>
      </c>
      <c r="H170" s="2" t="s">
        <v>3</v>
      </c>
      <c r="I170" s="2" t="str">
        <f>LOOKUP(G170,{1,3,6,9,12},{"Winter","Spring","Summer","Autumn","Winter"})</f>
        <v>Autumn</v>
      </c>
      <c r="J170" s="2" t="s">
        <v>293</v>
      </c>
      <c r="K170" s="2">
        <f t="shared" si="2"/>
        <v>2020</v>
      </c>
    </row>
    <row r="171" spans="1:11" ht="25" customHeight="1">
      <c r="A171" s="2">
        <v>1</v>
      </c>
      <c r="B171" s="2" t="s">
        <v>20</v>
      </c>
      <c r="C171" s="4" t="s">
        <v>135</v>
      </c>
      <c r="D171" s="4" t="s">
        <v>238</v>
      </c>
      <c r="E171" s="2">
        <v>2022</v>
      </c>
      <c r="F171" s="2" t="s">
        <v>40</v>
      </c>
      <c r="G171" s="2">
        <v>10</v>
      </c>
      <c r="H171" s="2" t="s">
        <v>3</v>
      </c>
      <c r="I171" s="2" t="str">
        <f>LOOKUP(G171,{1,3,6,9,12},{"Winter","Spring","Summer","Autumn","Winter"})</f>
        <v>Autumn</v>
      </c>
      <c r="J171" s="2" t="s">
        <v>293</v>
      </c>
      <c r="K171" s="2">
        <f t="shared" si="2"/>
        <v>2020</v>
      </c>
    </row>
    <row r="172" spans="1:11" ht="25" customHeight="1">
      <c r="A172" s="2">
        <v>1</v>
      </c>
      <c r="B172" s="2" t="s">
        <v>20</v>
      </c>
      <c r="C172" s="4" t="s">
        <v>135</v>
      </c>
      <c r="D172" s="4" t="s">
        <v>239</v>
      </c>
      <c r="E172" s="2">
        <v>2022</v>
      </c>
      <c r="F172" s="2" t="s">
        <v>74</v>
      </c>
      <c r="G172" s="2">
        <v>11</v>
      </c>
      <c r="H172" s="2" t="s">
        <v>7</v>
      </c>
      <c r="I172" s="2" t="str">
        <f>LOOKUP(G172,{1,3,6,9,12},{"Winter","Spring","Summer","Autumn","Winter"})</f>
        <v>Autumn</v>
      </c>
      <c r="J172" s="2" t="s">
        <v>293</v>
      </c>
      <c r="K172" s="2">
        <f t="shared" si="2"/>
        <v>2020</v>
      </c>
    </row>
    <row r="173" spans="1:11" ht="25" customHeight="1">
      <c r="A173" s="2">
        <v>1</v>
      </c>
      <c r="B173" s="2" t="s">
        <v>37</v>
      </c>
      <c r="C173" s="4" t="s">
        <v>38</v>
      </c>
      <c r="D173" s="4" t="s">
        <v>240</v>
      </c>
      <c r="E173" s="2">
        <v>2022</v>
      </c>
      <c r="F173" s="2" t="s">
        <v>74</v>
      </c>
      <c r="G173" s="2">
        <v>11</v>
      </c>
      <c r="H173" s="2" t="s">
        <v>7</v>
      </c>
      <c r="I173" s="2" t="str">
        <f>LOOKUP(G173,{1,3,6,9,12},{"Winter","Spring","Summer","Autumn","Winter"})</f>
        <v>Autumn</v>
      </c>
      <c r="J173" s="2" t="s">
        <v>293</v>
      </c>
      <c r="K173" s="2">
        <f t="shared" si="2"/>
        <v>2020</v>
      </c>
    </row>
    <row r="174" spans="1:11" ht="25" customHeight="1">
      <c r="A174" s="2">
        <v>2</v>
      </c>
      <c r="B174" s="2" t="s">
        <v>20</v>
      </c>
      <c r="C174" s="4" t="s">
        <v>135</v>
      </c>
      <c r="D174" s="4" t="s">
        <v>241</v>
      </c>
      <c r="E174" s="2">
        <v>2023</v>
      </c>
      <c r="F174" s="2" t="s">
        <v>63</v>
      </c>
      <c r="G174" s="2">
        <v>1</v>
      </c>
      <c r="H174" s="2" t="s">
        <v>6</v>
      </c>
      <c r="I174" s="2" t="str">
        <f>LOOKUP(G174,{1,3,6,9,12},{"Winter","Spring","Summer","Autumn","Winter"})</f>
        <v>Winter</v>
      </c>
      <c r="J174" s="2" t="s">
        <v>294</v>
      </c>
      <c r="K174" s="2">
        <f t="shared" si="2"/>
        <v>2020</v>
      </c>
    </row>
    <row r="175" spans="1:11" ht="25" customHeight="1">
      <c r="A175" s="2">
        <v>2</v>
      </c>
      <c r="B175" s="2" t="s">
        <v>20</v>
      </c>
      <c r="C175" s="4" t="s">
        <v>135</v>
      </c>
      <c r="D175" s="4" t="s">
        <v>242</v>
      </c>
      <c r="E175" s="2">
        <v>2023</v>
      </c>
      <c r="F175" s="2" t="s">
        <v>43</v>
      </c>
      <c r="G175" s="2">
        <v>2</v>
      </c>
      <c r="H175" s="2" t="s">
        <v>4</v>
      </c>
      <c r="I175" s="2" t="str">
        <f>LOOKUP(G175,{1,3,6,9,12},{"Winter","Spring","Summer","Autumn","Winter"})</f>
        <v>Winter</v>
      </c>
      <c r="J175" s="2" t="s">
        <v>294</v>
      </c>
      <c r="K175" s="2">
        <f t="shared" si="2"/>
        <v>2020</v>
      </c>
    </row>
    <row r="176" spans="1:11" ht="25" customHeight="1">
      <c r="A176" s="2">
        <v>2</v>
      </c>
      <c r="B176" s="2" t="s">
        <v>20</v>
      </c>
      <c r="C176" s="4" t="s">
        <v>135</v>
      </c>
      <c r="D176" s="4" t="s">
        <v>243</v>
      </c>
      <c r="E176" s="2">
        <v>2023</v>
      </c>
      <c r="F176" s="2" t="s">
        <v>86</v>
      </c>
      <c r="G176" s="2">
        <v>3</v>
      </c>
      <c r="H176" s="2" t="s">
        <v>10</v>
      </c>
      <c r="I176" s="2" t="str">
        <f>LOOKUP(G176,{1,3,6,9,12},{"Winter","Spring","Summer","Autumn","Winter"})</f>
        <v>Spring</v>
      </c>
      <c r="J176" s="2" t="s">
        <v>291</v>
      </c>
      <c r="K176" s="2">
        <f t="shared" si="2"/>
        <v>2020</v>
      </c>
    </row>
    <row r="177" spans="1:11" ht="25" customHeight="1">
      <c r="A177" s="2">
        <v>1</v>
      </c>
      <c r="B177" s="2" t="s">
        <v>28</v>
      </c>
      <c r="C177" s="4" t="s">
        <v>113</v>
      </c>
      <c r="D177" s="4" t="s">
        <v>244</v>
      </c>
      <c r="E177" s="2">
        <v>2023</v>
      </c>
      <c r="F177" s="2" t="s">
        <v>86</v>
      </c>
      <c r="G177" s="2">
        <v>3</v>
      </c>
      <c r="H177" s="2" t="s">
        <v>10</v>
      </c>
      <c r="I177" s="2" t="str">
        <f>LOOKUP(G177,{1,3,6,9,12},{"Winter","Spring","Summer","Autumn","Winter"})</f>
        <v>Spring</v>
      </c>
      <c r="J177" s="2" t="s">
        <v>291</v>
      </c>
      <c r="K177" s="2">
        <f t="shared" si="2"/>
        <v>2020</v>
      </c>
    </row>
    <row r="178" spans="1:11" ht="25" customHeight="1">
      <c r="A178" s="2">
        <v>1</v>
      </c>
      <c r="B178" s="2" t="s">
        <v>28</v>
      </c>
      <c r="C178" s="4" t="s">
        <v>235</v>
      </c>
      <c r="D178" s="4" t="s">
        <v>245</v>
      </c>
      <c r="E178" s="2">
        <v>2023</v>
      </c>
      <c r="F178" s="2" t="s">
        <v>86</v>
      </c>
      <c r="G178" s="2">
        <v>3</v>
      </c>
      <c r="H178" s="2" t="s">
        <v>10</v>
      </c>
      <c r="I178" s="2" t="str">
        <f>LOOKUP(G178,{1,3,6,9,12},{"Winter","Spring","Summer","Autumn","Winter"})</f>
        <v>Spring</v>
      </c>
      <c r="J178" s="2" t="s">
        <v>291</v>
      </c>
      <c r="K178" s="2">
        <f t="shared" si="2"/>
        <v>2020</v>
      </c>
    </row>
    <row r="179" spans="1:11" ht="25" customHeight="1">
      <c r="A179" s="2">
        <v>4</v>
      </c>
      <c r="B179" s="2" t="s">
        <v>20</v>
      </c>
      <c r="C179" s="4" t="s">
        <v>135</v>
      </c>
      <c r="D179" s="4" t="s">
        <v>246</v>
      </c>
      <c r="E179" s="2">
        <v>2023</v>
      </c>
      <c r="F179" s="2" t="s">
        <v>86</v>
      </c>
      <c r="G179" s="2">
        <v>3</v>
      </c>
      <c r="H179" s="2" t="s">
        <v>10</v>
      </c>
      <c r="I179" s="2" t="str">
        <f>LOOKUP(G179,{1,3,6,9,12},{"Winter","Spring","Summer","Autumn","Winter"})</f>
        <v>Spring</v>
      </c>
      <c r="J179" s="2" t="s">
        <v>291</v>
      </c>
      <c r="K179" s="2">
        <f t="shared" si="2"/>
        <v>2020</v>
      </c>
    </row>
    <row r="180" spans="1:11" ht="25" customHeight="1">
      <c r="A180" s="2">
        <v>1</v>
      </c>
      <c r="B180" s="2" t="s">
        <v>20</v>
      </c>
      <c r="C180" s="4" t="s">
        <v>21</v>
      </c>
      <c r="D180" s="4" t="s">
        <v>247</v>
      </c>
      <c r="E180" s="2">
        <v>2023</v>
      </c>
      <c r="F180" s="2" t="s">
        <v>86</v>
      </c>
      <c r="G180" s="2">
        <v>3</v>
      </c>
      <c r="H180" s="2" t="s">
        <v>10</v>
      </c>
      <c r="I180" s="2" t="str">
        <f>LOOKUP(G180,{1,3,6,9,12},{"Winter","Spring","Summer","Autumn","Winter"})</f>
        <v>Spring</v>
      </c>
      <c r="J180" s="2" t="s">
        <v>291</v>
      </c>
      <c r="K180" s="2">
        <f t="shared" si="2"/>
        <v>2020</v>
      </c>
    </row>
    <row r="181" spans="1:11" ht="25" customHeight="1">
      <c r="A181" s="2">
        <v>1</v>
      </c>
      <c r="B181" s="8" t="s">
        <v>296</v>
      </c>
      <c r="C181" s="7" t="s">
        <v>317</v>
      </c>
      <c r="D181" s="4" t="s">
        <v>318</v>
      </c>
      <c r="E181" s="2">
        <v>2023</v>
      </c>
      <c r="F181" s="2" t="s">
        <v>86</v>
      </c>
      <c r="G181" s="2">
        <v>3</v>
      </c>
      <c r="H181" s="2" t="s">
        <v>319</v>
      </c>
      <c r="I181" s="2" t="str">
        <f>LOOKUP(G181,{1,3,6,9,12},{"Winter","Spring","Summer","Autumn","Winter"})</f>
        <v>Spring</v>
      </c>
      <c r="K181" s="2">
        <f t="shared" si="2"/>
        <v>2020</v>
      </c>
    </row>
    <row r="182" spans="1:11" ht="25" customHeight="1">
      <c r="A182" s="2">
        <v>1</v>
      </c>
      <c r="B182" s="2" t="s">
        <v>28</v>
      </c>
      <c r="C182" s="4" t="s">
        <v>51</v>
      </c>
      <c r="D182" s="4" t="s">
        <v>248</v>
      </c>
      <c r="E182" s="2">
        <v>2023</v>
      </c>
      <c r="F182" s="2" t="s">
        <v>78</v>
      </c>
      <c r="G182" s="2">
        <v>6</v>
      </c>
      <c r="H182" s="2" t="s">
        <v>8</v>
      </c>
      <c r="I182" s="2" t="str">
        <f>LOOKUP(G182,{1,3,6,9,12},{"Winter","Spring","Summer","Autumn","Winter"})</f>
        <v>Summer</v>
      </c>
      <c r="J182" s="2" t="s">
        <v>292</v>
      </c>
      <c r="K182" s="2">
        <f t="shared" si="2"/>
        <v>2020</v>
      </c>
    </row>
    <row r="183" spans="1:11" ht="25" customHeight="1">
      <c r="A183" s="2">
        <v>1</v>
      </c>
      <c r="B183" s="2" t="s">
        <v>20</v>
      </c>
      <c r="C183" s="4" t="s">
        <v>135</v>
      </c>
      <c r="D183" s="4" t="s">
        <v>249</v>
      </c>
      <c r="E183" s="2">
        <v>2023</v>
      </c>
      <c r="F183" s="2" t="s">
        <v>78</v>
      </c>
      <c r="G183" s="2">
        <v>6</v>
      </c>
      <c r="H183" s="2" t="s">
        <v>8</v>
      </c>
      <c r="I183" s="2" t="str">
        <f>LOOKUP(G183,{1,3,6,9,12},{"Winter","Spring","Summer","Autumn","Winter"})</f>
        <v>Summer</v>
      </c>
      <c r="J183" s="2" t="s">
        <v>292</v>
      </c>
      <c r="K183" s="2">
        <f t="shared" si="2"/>
        <v>2020</v>
      </c>
    </row>
    <row r="184" spans="1:11" ht="25" customHeight="1">
      <c r="A184" s="2">
        <v>1</v>
      </c>
      <c r="B184" s="2" t="s">
        <v>28</v>
      </c>
      <c r="C184" s="4" t="s">
        <v>113</v>
      </c>
      <c r="D184" s="4" t="s">
        <v>250</v>
      </c>
      <c r="E184" s="2">
        <v>2023</v>
      </c>
      <c r="F184" s="2" t="s">
        <v>78</v>
      </c>
      <c r="G184" s="2">
        <v>6</v>
      </c>
      <c r="H184" s="2" t="s">
        <v>8</v>
      </c>
      <c r="I184" s="2" t="str">
        <f>LOOKUP(G184,{1,3,6,9,12},{"Winter","Spring","Summer","Autumn","Winter"})</f>
        <v>Summer</v>
      </c>
      <c r="J184" s="2" t="s">
        <v>292</v>
      </c>
      <c r="K184" s="2">
        <f t="shared" si="2"/>
        <v>2020</v>
      </c>
    </row>
    <row r="185" spans="1:11" ht="25" customHeight="1">
      <c r="A185" s="2">
        <v>1</v>
      </c>
      <c r="B185" s="2" t="s">
        <v>20</v>
      </c>
      <c r="C185" s="4" t="s">
        <v>21</v>
      </c>
      <c r="D185" s="4" t="s">
        <v>251</v>
      </c>
      <c r="E185" s="2">
        <v>2023</v>
      </c>
      <c r="F185" s="2" t="s">
        <v>183</v>
      </c>
      <c r="G185" s="2">
        <v>7</v>
      </c>
      <c r="H185" s="2" t="s">
        <v>11</v>
      </c>
      <c r="I185" s="2" t="str">
        <f>LOOKUP(G185,{1,3,6,9,12},{"Winter","Spring","Summer","Autumn","Winter"})</f>
        <v>Summer</v>
      </c>
      <c r="J185" s="2" t="s">
        <v>292</v>
      </c>
      <c r="K185" s="2">
        <f t="shared" si="2"/>
        <v>2020</v>
      </c>
    </row>
    <row r="186" spans="1:11" ht="25" customHeight="1">
      <c r="A186" s="2">
        <v>1</v>
      </c>
      <c r="B186" s="2" t="s">
        <v>20</v>
      </c>
      <c r="C186" s="4" t="s">
        <v>135</v>
      </c>
      <c r="D186" s="4" t="s">
        <v>252</v>
      </c>
      <c r="E186" s="2">
        <v>2023</v>
      </c>
      <c r="F186" s="2" t="s">
        <v>183</v>
      </c>
      <c r="G186" s="2">
        <v>7</v>
      </c>
      <c r="H186" s="2" t="s">
        <v>11</v>
      </c>
      <c r="I186" s="2" t="str">
        <f>LOOKUP(G186,{1,3,6,9,12},{"Winter","Spring","Summer","Autumn","Winter"})</f>
        <v>Summer</v>
      </c>
      <c r="J186" s="2" t="s">
        <v>292</v>
      </c>
      <c r="K186" s="2">
        <f t="shared" si="2"/>
        <v>2020</v>
      </c>
    </row>
    <row r="187" spans="1:11" ht="25" customHeight="1">
      <c r="A187" s="2">
        <v>1</v>
      </c>
      <c r="B187" s="2" t="s">
        <v>20</v>
      </c>
      <c r="C187" s="4" t="s">
        <v>135</v>
      </c>
      <c r="D187" s="4" t="s">
        <v>253</v>
      </c>
      <c r="E187" s="2">
        <v>2023</v>
      </c>
      <c r="F187" s="2" t="s">
        <v>27</v>
      </c>
      <c r="G187" s="2">
        <v>8</v>
      </c>
      <c r="H187" s="2" t="s">
        <v>2</v>
      </c>
      <c r="I187" s="2" t="str">
        <f>LOOKUP(G187,{1,3,6,9,12},{"Winter","Spring","Summer","Autumn","Winter"})</f>
        <v>Summer</v>
      </c>
      <c r="J187" s="2" t="s">
        <v>292</v>
      </c>
      <c r="K187" s="2">
        <f t="shared" si="2"/>
        <v>2020</v>
      </c>
    </row>
    <row r="188" spans="1:11" ht="25" customHeight="1">
      <c r="A188" s="2">
        <v>3</v>
      </c>
      <c r="B188" s="2" t="s">
        <v>20</v>
      </c>
      <c r="C188" s="4" t="s">
        <v>135</v>
      </c>
      <c r="D188" s="4" t="s">
        <v>254</v>
      </c>
      <c r="E188" s="2">
        <v>2023</v>
      </c>
      <c r="F188" s="2" t="s">
        <v>40</v>
      </c>
      <c r="G188" s="2">
        <v>10</v>
      </c>
      <c r="H188" s="2" t="s">
        <v>3</v>
      </c>
      <c r="I188" s="2" t="str">
        <f>LOOKUP(G188,{1,3,6,9,12},{"Winter","Spring","Summer","Autumn","Winter"})</f>
        <v>Autumn</v>
      </c>
      <c r="J188" s="2" t="s">
        <v>293</v>
      </c>
      <c r="K188" s="2">
        <f t="shared" si="2"/>
        <v>2020</v>
      </c>
    </row>
    <row r="189" spans="1:11" ht="25" customHeight="1">
      <c r="A189" s="2">
        <v>1</v>
      </c>
      <c r="B189" s="2" t="s">
        <v>20</v>
      </c>
      <c r="C189" s="4" t="s">
        <v>135</v>
      </c>
      <c r="D189" s="4" t="s">
        <v>255</v>
      </c>
      <c r="E189" s="2">
        <v>2023</v>
      </c>
      <c r="F189" s="2" t="s">
        <v>83</v>
      </c>
      <c r="G189" s="2">
        <v>12</v>
      </c>
      <c r="H189" s="2" t="s">
        <v>9</v>
      </c>
      <c r="I189" s="2" t="str">
        <f>LOOKUP(G189,{1,3,6,9,12},{"Winter","Spring","Summer","Autumn","Winter"})</f>
        <v>Winter</v>
      </c>
      <c r="J189" s="2" t="s">
        <v>294</v>
      </c>
      <c r="K189" s="2">
        <f t="shared" si="2"/>
        <v>2020</v>
      </c>
    </row>
    <row r="190" spans="1:11" ht="25" customHeight="1">
      <c r="A190" s="2">
        <v>1</v>
      </c>
      <c r="B190" s="2" t="s">
        <v>37</v>
      </c>
      <c r="C190" s="4" t="s">
        <v>38</v>
      </c>
      <c r="D190" s="4" t="s">
        <v>256</v>
      </c>
      <c r="E190" s="2">
        <v>2023</v>
      </c>
      <c r="F190" s="2" t="s">
        <v>83</v>
      </c>
      <c r="G190" s="2">
        <v>12</v>
      </c>
      <c r="H190" s="2" t="s">
        <v>9</v>
      </c>
      <c r="I190" s="2" t="str">
        <f>LOOKUP(G190,{1,3,6,9,12},{"Winter","Spring","Summer","Autumn","Winter"})</f>
        <v>Winter</v>
      </c>
      <c r="J190" s="2" t="s">
        <v>294</v>
      </c>
      <c r="K190" s="2">
        <f t="shared" si="2"/>
        <v>2020</v>
      </c>
    </row>
    <row r="191" spans="1:11" ht="25" customHeight="1">
      <c r="A191" s="2">
        <v>1</v>
      </c>
      <c r="B191" s="2" t="s">
        <v>28</v>
      </c>
      <c r="C191" s="4" t="s">
        <v>147</v>
      </c>
      <c r="D191" s="4" t="s">
        <v>257</v>
      </c>
      <c r="E191" s="2">
        <v>2024</v>
      </c>
      <c r="F191" s="2" t="s">
        <v>63</v>
      </c>
      <c r="G191" s="2">
        <v>1</v>
      </c>
      <c r="H191" s="2" t="s">
        <v>6</v>
      </c>
      <c r="I191" s="2" t="str">
        <f>LOOKUP(G191,{1,3,6,9,12},{"Winter","Spring","Summer","Autumn","Winter"})</f>
        <v>Winter</v>
      </c>
      <c r="J191" s="2" t="s">
        <v>294</v>
      </c>
      <c r="K191" s="2">
        <f t="shared" si="2"/>
        <v>2020</v>
      </c>
    </row>
    <row r="192" spans="1:11" ht="25" customHeight="1">
      <c r="A192" s="2">
        <v>1</v>
      </c>
      <c r="B192" s="2" t="s">
        <v>20</v>
      </c>
      <c r="C192" s="4" t="s">
        <v>135</v>
      </c>
      <c r="D192" s="4" t="s">
        <v>258</v>
      </c>
      <c r="E192" s="2">
        <v>2024</v>
      </c>
      <c r="F192" s="2" t="s">
        <v>43</v>
      </c>
      <c r="G192" s="2">
        <v>2</v>
      </c>
      <c r="H192" s="2" t="s">
        <v>4</v>
      </c>
      <c r="I192" s="2" t="str">
        <f>LOOKUP(G192,{1,3,6,9,12},{"Winter","Spring","Summer","Autumn","Winter"})</f>
        <v>Winter</v>
      </c>
      <c r="J192" s="2" t="s">
        <v>294</v>
      </c>
      <c r="K192" s="2">
        <f t="shared" si="2"/>
        <v>2020</v>
      </c>
    </row>
    <row r="193" spans="1:11" ht="25" customHeight="1">
      <c r="A193" s="2">
        <v>2</v>
      </c>
      <c r="B193" s="2" t="s">
        <v>20</v>
      </c>
      <c r="C193" s="4" t="s">
        <v>135</v>
      </c>
      <c r="D193" s="4" t="s">
        <v>259</v>
      </c>
      <c r="E193" s="2">
        <v>2024</v>
      </c>
      <c r="F193" s="2" t="s">
        <v>86</v>
      </c>
      <c r="G193" s="2">
        <v>3</v>
      </c>
      <c r="H193" s="2" t="s">
        <v>10</v>
      </c>
      <c r="I193" s="2" t="str">
        <f>LOOKUP(G193,{1,3,6,9,12},{"Winter","Spring","Summer","Autumn","Winter"})</f>
        <v>Spring</v>
      </c>
      <c r="J193" s="2" t="s">
        <v>291</v>
      </c>
      <c r="K193" s="2">
        <f t="shared" si="2"/>
        <v>2020</v>
      </c>
    </row>
    <row r="194" spans="1:11" ht="25" customHeight="1">
      <c r="A194" s="2">
        <v>5</v>
      </c>
      <c r="B194" s="2" t="s">
        <v>20</v>
      </c>
      <c r="C194" s="4" t="s">
        <v>21</v>
      </c>
      <c r="D194" s="4" t="s">
        <v>260</v>
      </c>
      <c r="E194" s="2">
        <v>2024</v>
      </c>
      <c r="F194" s="2" t="s">
        <v>86</v>
      </c>
      <c r="G194" s="2">
        <v>3</v>
      </c>
      <c r="H194" s="2" t="s">
        <v>10</v>
      </c>
      <c r="I194" s="2" t="str">
        <f>LOOKUP(G194,{1,3,6,9,12},{"Winter","Spring","Summer","Autumn","Winter"})</f>
        <v>Spring</v>
      </c>
      <c r="J194" s="2" t="s">
        <v>291</v>
      </c>
      <c r="K194" s="2">
        <f t="shared" si="2"/>
        <v>2020</v>
      </c>
    </row>
    <row r="195" spans="1:11" ht="25" customHeight="1">
      <c r="A195" s="2">
        <v>1</v>
      </c>
      <c r="B195" s="2" t="s">
        <v>20</v>
      </c>
      <c r="C195" s="4" t="s">
        <v>135</v>
      </c>
      <c r="D195" s="4" t="s">
        <v>261</v>
      </c>
      <c r="E195" s="2">
        <v>2024</v>
      </c>
      <c r="F195" s="2" t="s">
        <v>183</v>
      </c>
      <c r="G195" s="2">
        <v>7</v>
      </c>
      <c r="H195" s="2" t="s">
        <v>11</v>
      </c>
      <c r="I195" s="2" t="str">
        <f>LOOKUP(G195,{1,3,6,9,12},{"Winter","Spring","Summer","Autumn","Winter"})</f>
        <v>Summer</v>
      </c>
      <c r="J195" s="2" t="s">
        <v>292</v>
      </c>
      <c r="K195" s="2">
        <f t="shared" si="2"/>
        <v>2020</v>
      </c>
    </row>
    <row r="196" spans="1:11" ht="25" customHeight="1">
      <c r="A196" s="2">
        <v>3</v>
      </c>
      <c r="B196" s="2" t="s">
        <v>28</v>
      </c>
      <c r="C196" s="4" t="s">
        <v>166</v>
      </c>
      <c r="D196" s="4" t="s">
        <v>262</v>
      </c>
      <c r="E196" s="2">
        <v>2024</v>
      </c>
      <c r="F196" s="2" t="s">
        <v>25</v>
      </c>
      <c r="G196" s="2">
        <v>9</v>
      </c>
      <c r="H196" s="2" t="s">
        <v>1</v>
      </c>
      <c r="I196" s="2" t="str">
        <f>LOOKUP(G196,{1,3,6,9,12},{"Winter","Spring","Summer","Autumn","Winter"})</f>
        <v>Autumn</v>
      </c>
      <c r="J196" s="2" t="s">
        <v>293</v>
      </c>
      <c r="K196" s="2">
        <f t="shared" ref="K196:K215" si="3">ROUNDDOWN(E196/10,0)*10</f>
        <v>2020</v>
      </c>
    </row>
    <row r="197" spans="1:11" ht="25" customHeight="1">
      <c r="A197" s="2">
        <v>1</v>
      </c>
      <c r="B197" s="2" t="s">
        <v>20</v>
      </c>
      <c r="C197" s="4" t="s">
        <v>21</v>
      </c>
      <c r="D197" s="4" t="s">
        <v>263</v>
      </c>
      <c r="E197" s="2">
        <v>2024</v>
      </c>
      <c r="F197" s="2" t="s">
        <v>40</v>
      </c>
      <c r="G197" s="2">
        <v>10</v>
      </c>
      <c r="H197" s="2" t="s">
        <v>3</v>
      </c>
      <c r="I197" s="2" t="str">
        <f>LOOKUP(G197,{1,3,6,9,12},{"Winter","Spring","Summer","Autumn","Winter"})</f>
        <v>Autumn</v>
      </c>
      <c r="J197" s="2" t="s">
        <v>293</v>
      </c>
      <c r="K197" s="2">
        <f t="shared" si="3"/>
        <v>2020</v>
      </c>
    </row>
    <row r="198" spans="1:11" ht="25" customHeight="1">
      <c r="A198" s="2">
        <v>2</v>
      </c>
      <c r="B198" s="2" t="s">
        <v>20</v>
      </c>
      <c r="C198" s="4" t="s">
        <v>135</v>
      </c>
      <c r="D198" s="4" t="s">
        <v>264</v>
      </c>
      <c r="E198" s="2">
        <v>2025</v>
      </c>
      <c r="F198" s="2" t="s">
        <v>43</v>
      </c>
      <c r="G198" s="2">
        <v>2</v>
      </c>
      <c r="H198" s="2" t="s">
        <v>4</v>
      </c>
      <c r="I198" s="2" t="str">
        <f>LOOKUP(G198,{1,3,6,9,12},{"Winter","Spring","Summer","Autumn","Winter"})</f>
        <v>Winter</v>
      </c>
      <c r="J198" s="2" t="s">
        <v>294</v>
      </c>
      <c r="K198" s="2">
        <f t="shared" si="3"/>
        <v>2020</v>
      </c>
    </row>
    <row r="199" spans="1:11" ht="25" customHeight="1">
      <c r="A199" s="2">
        <v>1</v>
      </c>
      <c r="B199" s="2" t="s">
        <v>20</v>
      </c>
      <c r="C199" s="4" t="s">
        <v>135</v>
      </c>
      <c r="D199" s="4" t="s">
        <v>265</v>
      </c>
      <c r="E199" s="2">
        <v>2025</v>
      </c>
      <c r="F199" s="2" t="s">
        <v>43</v>
      </c>
      <c r="G199" s="2">
        <v>2</v>
      </c>
      <c r="H199" s="2" t="s">
        <v>4</v>
      </c>
      <c r="I199" s="2" t="str">
        <f>LOOKUP(G199,{1,3,6,9,12},{"Winter","Spring","Summer","Autumn","Winter"})</f>
        <v>Winter</v>
      </c>
      <c r="J199" s="2" t="s">
        <v>294</v>
      </c>
      <c r="K199" s="2">
        <f t="shared" si="3"/>
        <v>2020</v>
      </c>
    </row>
    <row r="200" spans="1:11" ht="25" customHeight="1">
      <c r="A200" s="2">
        <v>9</v>
      </c>
      <c r="B200" s="2" t="s">
        <v>20</v>
      </c>
      <c r="C200" s="4" t="s">
        <v>135</v>
      </c>
      <c r="D200" s="4" t="s">
        <v>266</v>
      </c>
      <c r="E200" s="2">
        <v>2025</v>
      </c>
      <c r="F200" s="2" t="s">
        <v>43</v>
      </c>
      <c r="G200" s="2">
        <v>2</v>
      </c>
      <c r="H200" s="2" t="s">
        <v>4</v>
      </c>
      <c r="I200" s="2" t="str">
        <f>LOOKUP(G200,{1,3,6,9,12},{"Winter","Spring","Summer","Autumn","Winter"})</f>
        <v>Winter</v>
      </c>
      <c r="J200" s="2" t="s">
        <v>294</v>
      </c>
      <c r="K200" s="2">
        <f t="shared" si="3"/>
        <v>2020</v>
      </c>
    </row>
    <row r="201" spans="1:11" ht="25" customHeight="1">
      <c r="A201" s="2">
        <v>1</v>
      </c>
      <c r="B201" s="2" t="s">
        <v>28</v>
      </c>
      <c r="C201" s="4" t="s">
        <v>113</v>
      </c>
      <c r="D201" s="4" t="s">
        <v>267</v>
      </c>
      <c r="E201" s="2">
        <v>2025</v>
      </c>
      <c r="F201" s="2" t="s">
        <v>43</v>
      </c>
      <c r="G201" s="2">
        <v>2</v>
      </c>
      <c r="H201" s="2" t="s">
        <v>4</v>
      </c>
      <c r="I201" s="2" t="str">
        <f>LOOKUP(G201,{1,3,6,9,12},{"Winter","Spring","Summer","Autumn","Winter"})</f>
        <v>Winter</v>
      </c>
      <c r="J201" s="2" t="s">
        <v>294</v>
      </c>
      <c r="K201" s="2">
        <f t="shared" si="3"/>
        <v>2020</v>
      </c>
    </row>
    <row r="202" spans="1:11" ht="25" customHeight="1">
      <c r="A202" s="2">
        <v>1</v>
      </c>
      <c r="B202" s="2" t="s">
        <v>28</v>
      </c>
      <c r="C202" s="4" t="s">
        <v>113</v>
      </c>
      <c r="D202" s="4" t="s">
        <v>268</v>
      </c>
      <c r="E202" s="2">
        <v>2025</v>
      </c>
      <c r="F202" s="2" t="s">
        <v>43</v>
      </c>
      <c r="G202" s="2">
        <v>2</v>
      </c>
      <c r="H202" s="2" t="s">
        <v>4</v>
      </c>
      <c r="I202" s="2" t="str">
        <f>LOOKUP(G202,{1,3,6,9,12},{"Winter","Spring","Summer","Autumn","Winter"})</f>
        <v>Winter</v>
      </c>
      <c r="J202" s="2" t="s">
        <v>294</v>
      </c>
      <c r="K202" s="2">
        <f t="shared" si="3"/>
        <v>2020</v>
      </c>
    </row>
    <row r="203" spans="1:11" ht="25" customHeight="1">
      <c r="A203" s="2">
        <v>1</v>
      </c>
      <c r="B203" s="2" t="s">
        <v>20</v>
      </c>
      <c r="C203" s="4" t="s">
        <v>21</v>
      </c>
      <c r="D203" s="4" t="s">
        <v>269</v>
      </c>
      <c r="E203" s="2">
        <v>2025</v>
      </c>
      <c r="F203" s="2" t="s">
        <v>23</v>
      </c>
      <c r="G203" s="2">
        <v>4</v>
      </c>
      <c r="H203" s="2" t="s">
        <v>0</v>
      </c>
      <c r="I203" s="2" t="str">
        <f>LOOKUP(G203,{1,3,6,9,12},{"Winter","Spring","Summer","Autumn","Winter"})</f>
        <v>Spring</v>
      </c>
      <c r="J203" s="2" t="s">
        <v>291</v>
      </c>
      <c r="K203" s="2">
        <f t="shared" si="3"/>
        <v>2020</v>
      </c>
    </row>
    <row r="204" spans="1:11" ht="25" customHeight="1">
      <c r="A204" s="2">
        <v>1</v>
      </c>
      <c r="B204" s="2" t="s">
        <v>28</v>
      </c>
      <c r="C204" s="4" t="s">
        <v>51</v>
      </c>
      <c r="D204" s="4" t="s">
        <v>270</v>
      </c>
      <c r="E204" s="2">
        <v>2025</v>
      </c>
      <c r="F204" s="2" t="s">
        <v>50</v>
      </c>
      <c r="G204" s="2">
        <v>5</v>
      </c>
      <c r="H204" s="2" t="s">
        <v>5</v>
      </c>
      <c r="I204" s="2" t="str">
        <f>LOOKUP(G204,{1,3,6,9,12},{"Winter","Spring","Summer","Autumn","Winter"})</f>
        <v>Spring</v>
      </c>
      <c r="J204" s="2" t="s">
        <v>291</v>
      </c>
      <c r="K204" s="2">
        <f t="shared" si="3"/>
        <v>2020</v>
      </c>
    </row>
    <row r="205" spans="1:11" ht="25" customHeight="1">
      <c r="A205" s="2">
        <v>1</v>
      </c>
      <c r="B205" s="2" t="s">
        <v>20</v>
      </c>
      <c r="C205" s="4" t="s">
        <v>135</v>
      </c>
      <c r="D205" s="4" t="s">
        <v>271</v>
      </c>
      <c r="E205" s="2">
        <v>2025</v>
      </c>
      <c r="F205" s="2" t="s">
        <v>78</v>
      </c>
      <c r="G205" s="2">
        <v>6</v>
      </c>
      <c r="H205" s="2" t="s">
        <v>8</v>
      </c>
      <c r="I205" s="2" t="str">
        <f>LOOKUP(G205,{1,3,6,9,12},{"Winter","Spring","Summer","Autumn","Winter"})</f>
        <v>Summer</v>
      </c>
      <c r="J205" s="2" t="s">
        <v>292</v>
      </c>
      <c r="K205" s="2">
        <f t="shared" si="3"/>
        <v>2020</v>
      </c>
    </row>
    <row r="206" spans="1:11" ht="25" customHeight="1">
      <c r="A206" s="2">
        <v>1</v>
      </c>
      <c r="B206" s="2" t="s">
        <v>28</v>
      </c>
      <c r="C206" s="4" t="s">
        <v>272</v>
      </c>
      <c r="D206" s="4" t="s">
        <v>273</v>
      </c>
      <c r="E206" s="2">
        <v>2025</v>
      </c>
      <c r="F206" s="2" t="s">
        <v>183</v>
      </c>
      <c r="G206" s="2">
        <v>7</v>
      </c>
      <c r="H206" s="2" t="s">
        <v>11</v>
      </c>
      <c r="I206" s="2" t="str">
        <f>LOOKUP(G206,{1,3,6,9,12},{"Winter","Spring","Summer","Autumn","Winter"})</f>
        <v>Summer</v>
      </c>
      <c r="J206" s="2" t="s">
        <v>292</v>
      </c>
      <c r="K206" s="2">
        <f t="shared" si="3"/>
        <v>2020</v>
      </c>
    </row>
    <row r="207" spans="1:11" ht="25" customHeight="1">
      <c r="A207" s="2">
        <v>1</v>
      </c>
      <c r="B207" s="2" t="s">
        <v>28</v>
      </c>
      <c r="C207" s="4" t="s">
        <v>274</v>
      </c>
      <c r="D207" s="4" t="s">
        <v>220</v>
      </c>
      <c r="E207" s="2">
        <v>2025</v>
      </c>
      <c r="F207" s="2" t="s">
        <v>183</v>
      </c>
      <c r="G207" s="2">
        <v>7</v>
      </c>
      <c r="H207" s="2" t="s">
        <v>11</v>
      </c>
      <c r="I207" s="2" t="str">
        <f>LOOKUP(G207,{1,3,6,9,12},{"Winter","Spring","Summer","Autumn","Winter"})</f>
        <v>Summer</v>
      </c>
      <c r="J207" s="2" t="s">
        <v>292</v>
      </c>
      <c r="K207" s="2">
        <f t="shared" si="3"/>
        <v>2020</v>
      </c>
    </row>
    <row r="208" spans="1:11" ht="25" customHeight="1">
      <c r="A208" s="2">
        <v>2</v>
      </c>
      <c r="B208" s="2" t="s">
        <v>20</v>
      </c>
      <c r="C208" s="4" t="s">
        <v>135</v>
      </c>
      <c r="D208" s="4" t="s">
        <v>246</v>
      </c>
      <c r="E208" s="2">
        <v>2025</v>
      </c>
      <c r="F208" s="2" t="s">
        <v>183</v>
      </c>
      <c r="G208" s="2">
        <v>7</v>
      </c>
      <c r="H208" s="2" t="s">
        <v>11</v>
      </c>
      <c r="I208" s="2" t="str">
        <f>LOOKUP(G208,{1,3,6,9,12},{"Winter","Spring","Summer","Autumn","Winter"})</f>
        <v>Summer</v>
      </c>
      <c r="J208" s="2" t="s">
        <v>292</v>
      </c>
      <c r="K208" s="2">
        <f t="shared" si="3"/>
        <v>2020</v>
      </c>
    </row>
    <row r="209" spans="1:11" ht="25" customHeight="1">
      <c r="A209" s="2">
        <v>1</v>
      </c>
      <c r="B209" s="2" t="s">
        <v>20</v>
      </c>
      <c r="C209" s="4" t="s">
        <v>135</v>
      </c>
      <c r="D209" s="4" t="s">
        <v>275</v>
      </c>
      <c r="E209" s="2">
        <v>2025</v>
      </c>
      <c r="F209" s="2" t="s">
        <v>183</v>
      </c>
      <c r="G209" s="2">
        <v>7</v>
      </c>
      <c r="H209" s="2" t="s">
        <v>11</v>
      </c>
      <c r="I209" s="2" t="str">
        <f>LOOKUP(G209,{1,3,6,9,12},{"Winter","Spring","Summer","Autumn","Winter"})</f>
        <v>Summer</v>
      </c>
      <c r="J209" s="2" t="s">
        <v>292</v>
      </c>
      <c r="K209" s="2">
        <f t="shared" si="3"/>
        <v>2020</v>
      </c>
    </row>
    <row r="210" spans="1:11" ht="25" customHeight="1">
      <c r="A210" s="2">
        <v>1</v>
      </c>
      <c r="B210" s="2" t="s">
        <v>20</v>
      </c>
      <c r="C210" s="4" t="s">
        <v>135</v>
      </c>
      <c r="D210" s="4" t="s">
        <v>276</v>
      </c>
      <c r="E210" s="2">
        <v>2025</v>
      </c>
      <c r="F210" s="2" t="s">
        <v>27</v>
      </c>
      <c r="G210" s="2">
        <v>8</v>
      </c>
      <c r="H210" s="2" t="s">
        <v>2</v>
      </c>
      <c r="I210" s="2" t="str">
        <f>LOOKUP(G210,{1,3,6,9,12},{"Winter","Spring","Summer","Autumn","Winter"})</f>
        <v>Summer</v>
      </c>
      <c r="J210" s="2" t="s">
        <v>292</v>
      </c>
      <c r="K210" s="2">
        <f t="shared" si="3"/>
        <v>2020</v>
      </c>
    </row>
    <row r="211" spans="1:11" ht="25" customHeight="1">
      <c r="A211" s="2">
        <v>1</v>
      </c>
      <c r="B211" s="2" t="s">
        <v>28</v>
      </c>
      <c r="C211" s="4" t="s">
        <v>166</v>
      </c>
      <c r="D211" s="4" t="s">
        <v>277</v>
      </c>
      <c r="E211" s="2">
        <v>2025</v>
      </c>
      <c r="F211" s="2" t="s">
        <v>27</v>
      </c>
      <c r="G211" s="2">
        <v>8</v>
      </c>
      <c r="H211" s="2" t="s">
        <v>2</v>
      </c>
      <c r="I211" s="2" t="str">
        <f>LOOKUP(G211,{1,3,6,9,12},{"Winter","Spring","Summer","Autumn","Winter"})</f>
        <v>Summer</v>
      </c>
      <c r="J211" s="2" t="s">
        <v>292</v>
      </c>
      <c r="K211" s="2">
        <f t="shared" si="3"/>
        <v>2020</v>
      </c>
    </row>
    <row r="212" spans="1:11" ht="25" customHeight="1">
      <c r="A212" s="2">
        <v>1</v>
      </c>
      <c r="B212" s="2" t="s">
        <v>28</v>
      </c>
      <c r="C212" s="4" t="s">
        <v>88</v>
      </c>
      <c r="D212" s="4" t="s">
        <v>278</v>
      </c>
      <c r="E212" s="2">
        <v>2025</v>
      </c>
      <c r="F212" s="2" t="s">
        <v>25</v>
      </c>
      <c r="G212" s="2">
        <v>9</v>
      </c>
      <c r="H212" s="2" t="s">
        <v>1</v>
      </c>
      <c r="I212" s="2" t="str">
        <f>LOOKUP(G212,{1,3,6,9,12},{"Winter","Spring","Summer","Autumn","Winter"})</f>
        <v>Autumn</v>
      </c>
      <c r="J212" s="2" t="s">
        <v>293</v>
      </c>
      <c r="K212" s="2">
        <f t="shared" si="3"/>
        <v>2020</v>
      </c>
    </row>
    <row r="213" spans="1:11" ht="25" customHeight="1">
      <c r="A213" s="2">
        <v>1</v>
      </c>
      <c r="B213" s="2" t="s">
        <v>28</v>
      </c>
      <c r="C213" s="4" t="s">
        <v>279</v>
      </c>
      <c r="D213" s="4" t="s">
        <v>280</v>
      </c>
      <c r="E213" s="2">
        <v>2025</v>
      </c>
      <c r="F213" s="2" t="s">
        <v>40</v>
      </c>
      <c r="G213" s="2">
        <v>10</v>
      </c>
      <c r="H213" s="2" t="s">
        <v>3</v>
      </c>
      <c r="I213" s="2" t="str">
        <f>LOOKUP(G213,{1,3,6,9,12},{"Winter","Spring","Summer","Autumn","Winter"})</f>
        <v>Autumn</v>
      </c>
      <c r="J213" s="2" t="s">
        <v>293</v>
      </c>
      <c r="K213" s="2">
        <f t="shared" si="3"/>
        <v>2020</v>
      </c>
    </row>
    <row r="214" spans="1:11" ht="25" customHeight="1">
      <c r="A214" s="2">
        <v>1</v>
      </c>
      <c r="B214" s="2" t="s">
        <v>37</v>
      </c>
      <c r="C214" s="4" t="s">
        <v>281</v>
      </c>
      <c r="D214" s="4" t="s">
        <v>282</v>
      </c>
      <c r="E214" s="2">
        <v>2025</v>
      </c>
      <c r="F214" s="2" t="s">
        <v>40</v>
      </c>
      <c r="G214" s="2">
        <v>10</v>
      </c>
      <c r="H214" s="2" t="s">
        <v>3</v>
      </c>
      <c r="I214" s="2" t="str">
        <f>LOOKUP(G214,{1,3,6,9,12},{"Winter","Spring","Summer","Autumn","Winter"})</f>
        <v>Autumn</v>
      </c>
      <c r="J214" s="2" t="s">
        <v>293</v>
      </c>
      <c r="K214" s="2">
        <f t="shared" si="3"/>
        <v>2020</v>
      </c>
    </row>
    <row r="215" spans="1:11" ht="25" customHeight="1">
      <c r="A215" s="2">
        <v>1</v>
      </c>
      <c r="B215" s="2" t="s">
        <v>37</v>
      </c>
      <c r="C215" s="4" t="s">
        <v>38</v>
      </c>
      <c r="D215" s="4" t="s">
        <v>283</v>
      </c>
      <c r="E215" s="2">
        <v>2025</v>
      </c>
      <c r="F215" s="2" t="s">
        <v>74</v>
      </c>
      <c r="G215" s="2">
        <v>11</v>
      </c>
      <c r="H215" s="2" t="s">
        <v>7</v>
      </c>
      <c r="I215" s="2" t="str">
        <f>LOOKUP(G215,{1,3,6,9,12},{"Winter","Spring","Summer","Autumn","Winter"})</f>
        <v>Autumn</v>
      </c>
      <c r="J215" s="2" t="s">
        <v>293</v>
      </c>
      <c r="K215" s="2">
        <f t="shared" si="3"/>
        <v>2020</v>
      </c>
    </row>
    <row r="216" spans="1:11" ht="25" customHeight="1">
      <c r="A216" s="2">
        <v>1</v>
      </c>
      <c r="B216" s="8" t="s">
        <v>312</v>
      </c>
      <c r="C216" s="7" t="s">
        <v>313</v>
      </c>
      <c r="D216" s="4" t="s">
        <v>316</v>
      </c>
      <c r="E216" s="2">
        <v>2025</v>
      </c>
      <c r="F216" s="8" t="s">
        <v>297</v>
      </c>
      <c r="G216" s="2">
        <v>12</v>
      </c>
      <c r="H216" s="2" t="s">
        <v>298</v>
      </c>
      <c r="I216" s="2" t="str">
        <f>LOOKUP(G216,{1,3,6,9,12},{"Winter","Spring","Summer","Autumn","Winter"})</f>
        <v>Winter</v>
      </c>
      <c r="K216" s="2">
        <f>ROUNDDOWN(E216/10,0)*10</f>
        <v>2020</v>
      </c>
    </row>
    <row r="217" spans="1:11" ht="25" customHeight="1">
      <c r="A217" s="2">
        <v>1</v>
      </c>
      <c r="B217" s="8" t="s">
        <v>312</v>
      </c>
      <c r="C217" s="7" t="s">
        <v>313</v>
      </c>
      <c r="D217" s="7" t="s">
        <v>314</v>
      </c>
      <c r="E217" s="2">
        <v>2025</v>
      </c>
      <c r="F217" s="18" t="s">
        <v>297</v>
      </c>
      <c r="G217" s="2">
        <v>12</v>
      </c>
      <c r="H217" s="2" t="s">
        <v>298</v>
      </c>
      <c r="I217" s="2" t="str">
        <f>LOOKUP(G217,{1,3,6,9,12},{"Winter","Spring","Summer","Autumn","Winter"})</f>
        <v>Winter</v>
      </c>
      <c r="K217" s="2">
        <f>ROUNDDOWN(E217/10,0)*10</f>
        <v>2020</v>
      </c>
    </row>
    <row r="218" spans="1:11" ht="25" customHeight="1">
      <c r="A218" s="2">
        <v>1</v>
      </c>
      <c r="B218" s="2" t="s">
        <v>296</v>
      </c>
      <c r="C218" s="4" t="s">
        <v>295</v>
      </c>
      <c r="D218" s="7" t="s">
        <v>315</v>
      </c>
      <c r="E218" s="2">
        <v>2025</v>
      </c>
      <c r="F218" s="8" t="s">
        <v>297</v>
      </c>
      <c r="G218" s="2">
        <v>12</v>
      </c>
      <c r="H218" s="2" t="s">
        <v>298</v>
      </c>
      <c r="I218" s="2" t="str">
        <f>LOOKUP(G218,{1,3,6,9,12},{"Winter","Spring","Summer","Autumn","Winter"})</f>
        <v>Winter</v>
      </c>
      <c r="K218" s="2">
        <f>ROUNDDOWN(E218/10,0)*10</f>
        <v>2020</v>
      </c>
    </row>
  </sheetData>
  <phoneticPr fontId="2" type="noConversion"/>
  <printOptions horizontalCentered="1" gridLines="1"/>
  <pageMargins left="0" right="0" top="0.5" bottom="0.5" header="0.3" footer="0.3"/>
  <pageSetup paperSize="11" scale="63" orientation="portrait" horizontalDpi="0" verticalDpi="0"/>
  <headerFooter>
    <oddFooter>&amp;R&amp;"Helvetica,Regular"&amp;K000000&amp;P / &amp;N - &amp;A</oddFooter>
  </headerFooter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8760-FDB2-0448-A915-95C02F26C1A6}">
  <dimension ref="A1:P170"/>
  <sheetViews>
    <sheetView workbookViewId="0">
      <selection activeCell="G30" sqref="G30"/>
    </sheetView>
  </sheetViews>
  <sheetFormatPr baseColWidth="10" defaultRowHeight="20" customHeight="1"/>
  <cols>
    <col min="1" max="1" width="18.83203125" style="1" bestFit="1" customWidth="1"/>
    <col min="2" max="2" width="7.33203125" style="1" bestFit="1" customWidth="1"/>
    <col min="3" max="3" width="10.83203125" style="1" customWidth="1"/>
    <col min="4" max="4" width="14.6640625" style="1" bestFit="1" customWidth="1"/>
    <col min="5" max="5" width="6.33203125" style="1" bestFit="1" customWidth="1"/>
    <col min="6" max="6" width="10.83203125" style="1"/>
    <col min="7" max="7" width="12.83203125" style="1" bestFit="1" customWidth="1"/>
    <col min="8" max="9" width="6.33203125" style="1" bestFit="1" customWidth="1"/>
    <col min="10" max="10" width="12.83203125" style="1" bestFit="1" customWidth="1"/>
    <col min="11" max="11" width="6.33203125" style="1" bestFit="1" customWidth="1"/>
    <col min="12" max="16384" width="10.83203125" style="1"/>
  </cols>
  <sheetData>
    <row r="1" spans="1:16" ht="20" customHeight="1">
      <c r="A1" s="6" t="s">
        <v>287</v>
      </c>
      <c r="B1" s="1" t="s">
        <v>286</v>
      </c>
      <c r="C1"/>
      <c r="D1" s="13" t="s">
        <v>301</v>
      </c>
      <c r="E1" s="14"/>
      <c r="F1"/>
      <c r="G1" s="9" t="s">
        <v>309</v>
      </c>
      <c r="H1" s="14"/>
      <c r="I1"/>
      <c r="J1"/>
      <c r="K1"/>
      <c r="L1"/>
      <c r="M1"/>
      <c r="N1"/>
      <c r="O1"/>
      <c r="P1"/>
    </row>
    <row r="2" spans="1:16" ht="20" customHeight="1">
      <c r="A2" s="1">
        <v>1979</v>
      </c>
      <c r="B2" s="1">
        <v>4</v>
      </c>
      <c r="C2"/>
      <c r="D2" s="9" t="s">
        <v>300</v>
      </c>
      <c r="E2" s="14" t="s">
        <v>299</v>
      </c>
      <c r="F2"/>
      <c r="G2" s="9" t="s">
        <v>303</v>
      </c>
      <c r="H2" s="14" t="s">
        <v>299</v>
      </c>
      <c r="I2"/>
      <c r="J2"/>
      <c r="K2"/>
      <c r="L2"/>
      <c r="M2"/>
      <c r="N2"/>
      <c r="O2"/>
      <c r="P2"/>
    </row>
    <row r="3" spans="1:16" ht="20" customHeight="1">
      <c r="A3" s="1">
        <v>1980</v>
      </c>
      <c r="B3" s="1">
        <v>2</v>
      </c>
      <c r="C3"/>
      <c r="D3" s="10">
        <v>1979</v>
      </c>
      <c r="E3" s="19">
        <v>4</v>
      </c>
      <c r="F3"/>
      <c r="G3" s="10" t="s">
        <v>304</v>
      </c>
      <c r="H3" s="19">
        <v>109</v>
      </c>
      <c r="I3"/>
      <c r="J3"/>
      <c r="K3"/>
      <c r="L3"/>
      <c r="M3"/>
      <c r="N3"/>
      <c r="O3"/>
      <c r="P3"/>
    </row>
    <row r="4" spans="1:16" ht="20" customHeight="1">
      <c r="A4" s="1">
        <v>1982</v>
      </c>
      <c r="B4" s="1">
        <v>7</v>
      </c>
      <c r="C4"/>
      <c r="D4" s="11">
        <v>1980</v>
      </c>
      <c r="E4" s="20">
        <v>2</v>
      </c>
      <c r="F4"/>
      <c r="G4" s="11" t="s">
        <v>305</v>
      </c>
      <c r="H4" s="20">
        <v>56</v>
      </c>
      <c r="I4"/>
      <c r="J4"/>
      <c r="K4"/>
      <c r="L4"/>
      <c r="M4"/>
      <c r="N4"/>
      <c r="O4"/>
      <c r="P4"/>
    </row>
    <row r="5" spans="1:16" ht="20" customHeight="1">
      <c r="A5" s="1">
        <v>1983</v>
      </c>
      <c r="B5" s="1">
        <v>5</v>
      </c>
      <c r="C5"/>
      <c r="D5" s="11">
        <v>1982</v>
      </c>
      <c r="E5" s="20">
        <v>7</v>
      </c>
      <c r="F5"/>
      <c r="G5" s="11" t="s">
        <v>306</v>
      </c>
      <c r="H5" s="20">
        <v>50</v>
      </c>
      <c r="I5"/>
      <c r="J5"/>
      <c r="K5"/>
      <c r="L5"/>
      <c r="M5"/>
      <c r="N5"/>
      <c r="O5"/>
      <c r="P5"/>
    </row>
    <row r="6" spans="1:16" ht="20" customHeight="1">
      <c r="A6" s="1">
        <v>1984</v>
      </c>
      <c r="B6" s="1">
        <v>5</v>
      </c>
      <c r="C6"/>
      <c r="D6" s="11">
        <v>1983</v>
      </c>
      <c r="E6" s="20">
        <v>5</v>
      </c>
      <c r="F6"/>
      <c r="G6" s="11" t="s">
        <v>307</v>
      </c>
      <c r="H6" s="20">
        <v>124</v>
      </c>
      <c r="I6"/>
      <c r="J6"/>
      <c r="K6"/>
      <c r="L6"/>
      <c r="M6"/>
      <c r="N6"/>
      <c r="O6"/>
      <c r="P6"/>
    </row>
    <row r="7" spans="1:16" ht="20" customHeight="1">
      <c r="A7" s="1">
        <v>1985</v>
      </c>
      <c r="B7" s="1">
        <v>9</v>
      </c>
      <c r="C7"/>
      <c r="D7" s="11">
        <v>1984</v>
      </c>
      <c r="E7" s="20">
        <v>5</v>
      </c>
      <c r="F7"/>
      <c r="G7" s="11" t="s">
        <v>284</v>
      </c>
      <c r="H7" s="20"/>
      <c r="I7"/>
      <c r="J7"/>
      <c r="K7"/>
      <c r="L7"/>
      <c r="M7"/>
      <c r="N7"/>
      <c r="O7"/>
      <c r="P7"/>
    </row>
    <row r="8" spans="1:16" ht="20" customHeight="1">
      <c r="A8" s="1">
        <v>1986</v>
      </c>
      <c r="B8" s="1">
        <v>4</v>
      </c>
      <c r="C8"/>
      <c r="D8" s="11">
        <v>1985</v>
      </c>
      <c r="E8" s="20">
        <v>9</v>
      </c>
      <c r="F8"/>
      <c r="G8" s="12" t="s">
        <v>285</v>
      </c>
      <c r="H8" s="21">
        <v>339</v>
      </c>
      <c r="I8"/>
      <c r="J8"/>
      <c r="K8"/>
      <c r="L8"/>
      <c r="M8"/>
      <c r="N8"/>
      <c r="O8"/>
      <c r="P8"/>
    </row>
    <row r="9" spans="1:16" ht="20" customHeight="1">
      <c r="A9" s="1">
        <v>1987</v>
      </c>
      <c r="B9" s="1">
        <v>2</v>
      </c>
      <c r="C9"/>
      <c r="D9" s="11">
        <v>1986</v>
      </c>
      <c r="E9" s="20">
        <v>4</v>
      </c>
      <c r="F9"/>
      <c r="G9" s="9" t="s">
        <v>311</v>
      </c>
      <c r="H9" s="14"/>
      <c r="I9"/>
      <c r="J9"/>
      <c r="K9"/>
      <c r="L9"/>
      <c r="M9"/>
      <c r="N9"/>
      <c r="O9"/>
      <c r="P9"/>
    </row>
    <row r="10" spans="1:16" ht="20" customHeight="1">
      <c r="A10" s="1">
        <v>1988</v>
      </c>
      <c r="B10" s="1">
        <v>1</v>
      </c>
      <c r="C10"/>
      <c r="D10" s="11">
        <v>1987</v>
      </c>
      <c r="E10" s="20">
        <v>2</v>
      </c>
      <c r="F10"/>
      <c r="G10" s="9" t="s">
        <v>310</v>
      </c>
      <c r="H10" s="14" t="s">
        <v>299</v>
      </c>
      <c r="I10"/>
      <c r="J10"/>
      <c r="K10"/>
      <c r="L10"/>
      <c r="M10"/>
      <c r="N10"/>
      <c r="O10"/>
      <c r="P10"/>
    </row>
    <row r="11" spans="1:16" ht="20" customHeight="1">
      <c r="A11" s="1">
        <v>1989</v>
      </c>
      <c r="B11" s="1">
        <v>2</v>
      </c>
      <c r="C11"/>
      <c r="D11" s="11">
        <v>1988</v>
      </c>
      <c r="E11" s="20">
        <v>1</v>
      </c>
      <c r="F11"/>
      <c r="G11" s="10" t="s">
        <v>6</v>
      </c>
      <c r="H11" s="19">
        <v>28</v>
      </c>
      <c r="I11"/>
      <c r="J11"/>
      <c r="K11"/>
      <c r="L11"/>
      <c r="M11"/>
      <c r="N11"/>
      <c r="O11"/>
      <c r="P11"/>
    </row>
    <row r="12" spans="1:16" ht="20" customHeight="1">
      <c r="A12" s="1">
        <v>1992</v>
      </c>
      <c r="B12" s="1">
        <v>1</v>
      </c>
      <c r="C12"/>
      <c r="D12" s="11">
        <v>1989</v>
      </c>
      <c r="E12" s="20">
        <v>2</v>
      </c>
      <c r="F12"/>
      <c r="G12" s="11" t="s">
        <v>4</v>
      </c>
      <c r="H12" s="20">
        <v>63</v>
      </c>
      <c r="I12"/>
      <c r="J12"/>
      <c r="K12"/>
      <c r="L12"/>
      <c r="M12"/>
      <c r="N12"/>
      <c r="O12"/>
      <c r="P12"/>
    </row>
    <row r="13" spans="1:16" ht="20" customHeight="1">
      <c r="A13" s="1">
        <v>1993</v>
      </c>
      <c r="B13" s="1">
        <v>2</v>
      </c>
      <c r="C13"/>
      <c r="D13" s="11">
        <v>1992</v>
      </c>
      <c r="E13" s="20">
        <v>1</v>
      </c>
      <c r="F13"/>
      <c r="G13" s="11" t="s">
        <v>10</v>
      </c>
      <c r="H13" s="20">
        <v>34</v>
      </c>
      <c r="I13"/>
      <c r="J13"/>
      <c r="K13"/>
      <c r="L13"/>
      <c r="M13"/>
      <c r="N13"/>
      <c r="O13"/>
      <c r="P13"/>
    </row>
    <row r="14" spans="1:16" ht="20" customHeight="1">
      <c r="A14" s="1">
        <v>1994</v>
      </c>
      <c r="B14" s="1">
        <v>8</v>
      </c>
      <c r="C14"/>
      <c r="D14" s="11">
        <v>1993</v>
      </c>
      <c r="E14" s="20">
        <v>2</v>
      </c>
      <c r="F14"/>
      <c r="G14" s="11" t="s">
        <v>0</v>
      </c>
      <c r="H14" s="20">
        <v>11</v>
      </c>
      <c r="I14"/>
      <c r="J14"/>
      <c r="K14"/>
      <c r="L14"/>
      <c r="M14"/>
      <c r="N14"/>
      <c r="O14"/>
      <c r="P14"/>
    </row>
    <row r="15" spans="1:16" ht="20" customHeight="1">
      <c r="A15" s="1">
        <v>1995</v>
      </c>
      <c r="B15" s="1">
        <v>30</v>
      </c>
      <c r="C15"/>
      <c r="D15" s="11">
        <v>1994</v>
      </c>
      <c r="E15" s="20">
        <v>8</v>
      </c>
      <c r="F15"/>
      <c r="G15" s="11" t="s">
        <v>5</v>
      </c>
      <c r="H15" s="20">
        <v>11</v>
      </c>
      <c r="I15"/>
      <c r="J15"/>
      <c r="K15"/>
      <c r="L15"/>
      <c r="M15"/>
      <c r="N15"/>
      <c r="O15"/>
      <c r="P15"/>
    </row>
    <row r="16" spans="1:16" ht="20" customHeight="1">
      <c r="A16" s="1">
        <v>1996</v>
      </c>
      <c r="B16" s="1">
        <v>2</v>
      </c>
      <c r="C16"/>
      <c r="D16" s="11">
        <v>1995</v>
      </c>
      <c r="E16" s="20">
        <v>30</v>
      </c>
      <c r="F16"/>
      <c r="G16" s="11" t="s">
        <v>8</v>
      </c>
      <c r="H16" s="20">
        <v>14</v>
      </c>
      <c r="I16"/>
      <c r="J16"/>
      <c r="K16"/>
      <c r="L16"/>
      <c r="M16"/>
      <c r="N16"/>
      <c r="O16"/>
      <c r="P16"/>
    </row>
    <row r="17" spans="1:14" ht="20" customHeight="1">
      <c r="A17" s="1">
        <v>1997</v>
      </c>
      <c r="B17" s="1">
        <v>1</v>
      </c>
      <c r="C17"/>
      <c r="D17" s="11">
        <v>1996</v>
      </c>
      <c r="E17" s="20">
        <v>2</v>
      </c>
      <c r="F17"/>
      <c r="G17" s="11" t="s">
        <v>11</v>
      </c>
      <c r="H17" s="20">
        <v>13</v>
      </c>
      <c r="I17"/>
      <c r="J17"/>
      <c r="K17"/>
      <c r="L17"/>
      <c r="M17"/>
      <c r="N17"/>
    </row>
    <row r="18" spans="1:14" ht="20" customHeight="1">
      <c r="A18" s="1">
        <v>1998</v>
      </c>
      <c r="B18" s="1">
        <v>1</v>
      </c>
      <c r="C18"/>
      <c r="D18" s="11">
        <v>1997</v>
      </c>
      <c r="E18" s="20">
        <v>1</v>
      </c>
      <c r="F18"/>
      <c r="G18" s="11" t="s">
        <v>2</v>
      </c>
      <c r="H18" s="20">
        <v>23</v>
      </c>
      <c r="I18"/>
      <c r="J18"/>
      <c r="K18"/>
      <c r="L18"/>
      <c r="M18"/>
      <c r="N18"/>
    </row>
    <row r="19" spans="1:14" ht="20" customHeight="1">
      <c r="A19" s="1">
        <v>1999</v>
      </c>
      <c r="B19" s="1">
        <v>2</v>
      </c>
      <c r="C19"/>
      <c r="D19" s="11">
        <v>1998</v>
      </c>
      <c r="E19" s="20">
        <v>1</v>
      </c>
      <c r="F19"/>
      <c r="G19" s="11" t="s">
        <v>1</v>
      </c>
      <c r="H19" s="20">
        <v>52</v>
      </c>
      <c r="I19"/>
      <c r="J19"/>
      <c r="K19"/>
      <c r="L19"/>
      <c r="M19"/>
      <c r="N19"/>
    </row>
    <row r="20" spans="1:14" ht="20" customHeight="1">
      <c r="A20" s="1">
        <v>2002</v>
      </c>
      <c r="B20" s="1">
        <v>1</v>
      </c>
      <c r="C20"/>
      <c r="D20" s="11">
        <v>1999</v>
      </c>
      <c r="E20" s="20">
        <v>2</v>
      </c>
      <c r="F20"/>
      <c r="G20" s="11" t="s">
        <v>3</v>
      </c>
      <c r="H20" s="20">
        <v>25</v>
      </c>
      <c r="I20"/>
      <c r="J20"/>
      <c r="K20"/>
      <c r="L20"/>
      <c r="M20"/>
      <c r="N20"/>
    </row>
    <row r="21" spans="1:14" ht="20" customHeight="1">
      <c r="A21" s="1">
        <v>2003</v>
      </c>
      <c r="B21" s="1">
        <v>2</v>
      </c>
      <c r="C21"/>
      <c r="D21" s="11">
        <v>2002</v>
      </c>
      <c r="E21" s="20">
        <v>1</v>
      </c>
      <c r="F21"/>
      <c r="G21" s="11" t="s">
        <v>7</v>
      </c>
      <c r="H21" s="20">
        <v>32</v>
      </c>
      <c r="I21"/>
      <c r="J21"/>
      <c r="K21"/>
      <c r="L21"/>
      <c r="M21"/>
      <c r="N21"/>
    </row>
    <row r="22" spans="1:14" ht="20" customHeight="1">
      <c r="A22" s="1">
        <v>2006</v>
      </c>
      <c r="B22" s="1">
        <v>6</v>
      </c>
      <c r="C22"/>
      <c r="D22" s="11">
        <v>2003</v>
      </c>
      <c r="E22" s="20">
        <v>2</v>
      </c>
      <c r="F22"/>
      <c r="G22" s="11" t="s">
        <v>9</v>
      </c>
      <c r="H22" s="20">
        <v>33</v>
      </c>
      <c r="I22"/>
      <c r="J22"/>
      <c r="K22"/>
      <c r="L22"/>
      <c r="M22"/>
      <c r="N22"/>
    </row>
    <row r="23" spans="1:14" ht="20" customHeight="1">
      <c r="A23" s="1">
        <v>2007</v>
      </c>
      <c r="B23" s="1">
        <v>4</v>
      </c>
      <c r="C23"/>
      <c r="D23" s="11">
        <v>2006</v>
      </c>
      <c r="E23" s="20">
        <v>6</v>
      </c>
      <c r="F23"/>
      <c r="G23" s="11" t="s">
        <v>284</v>
      </c>
      <c r="H23" s="20"/>
      <c r="I23"/>
      <c r="J23"/>
      <c r="K23"/>
      <c r="L23"/>
      <c r="M23"/>
      <c r="N23"/>
    </row>
    <row r="24" spans="1:14" ht="20" customHeight="1">
      <c r="A24" s="1">
        <v>2008</v>
      </c>
      <c r="B24" s="1">
        <v>5</v>
      </c>
      <c r="C24"/>
      <c r="D24" s="11">
        <v>2007</v>
      </c>
      <c r="E24" s="20">
        <v>4</v>
      </c>
      <c r="F24"/>
      <c r="G24" s="12" t="s">
        <v>285</v>
      </c>
      <c r="H24" s="21">
        <v>339</v>
      </c>
      <c r="I24"/>
      <c r="J24"/>
      <c r="K24"/>
      <c r="L24"/>
      <c r="M24"/>
      <c r="N24"/>
    </row>
    <row r="25" spans="1:14" ht="20" customHeight="1">
      <c r="A25" s="1">
        <v>2009</v>
      </c>
      <c r="B25" s="1">
        <v>8</v>
      </c>
      <c r="C25"/>
      <c r="D25" s="11">
        <v>2008</v>
      </c>
      <c r="E25" s="20">
        <v>5</v>
      </c>
      <c r="F25"/>
      <c r="I25"/>
      <c r="L25"/>
      <c r="M25"/>
      <c r="N25"/>
    </row>
    <row r="26" spans="1:14" ht="20" customHeight="1">
      <c r="A26" s="1">
        <v>2010</v>
      </c>
      <c r="B26" s="1">
        <v>30</v>
      </c>
      <c r="C26"/>
      <c r="D26" s="11">
        <v>2009</v>
      </c>
      <c r="E26" s="20">
        <v>8</v>
      </c>
      <c r="F26"/>
      <c r="I26"/>
      <c r="L26"/>
      <c r="M26"/>
      <c r="N26"/>
    </row>
    <row r="27" spans="1:14" ht="20" customHeight="1">
      <c r="A27" s="1">
        <v>2011</v>
      </c>
      <c r="B27" s="1">
        <v>16</v>
      </c>
      <c r="C27"/>
      <c r="D27" s="11">
        <v>2010</v>
      </c>
      <c r="E27" s="20">
        <v>30</v>
      </c>
      <c r="F27"/>
      <c r="I27"/>
      <c r="L27"/>
      <c r="M27"/>
      <c r="N27"/>
    </row>
    <row r="28" spans="1:14" ht="20" customHeight="1">
      <c r="A28" s="1">
        <v>2012</v>
      </c>
      <c r="B28" s="1">
        <v>7</v>
      </c>
      <c r="C28"/>
      <c r="D28" s="11">
        <v>2011</v>
      </c>
      <c r="E28" s="20">
        <v>16</v>
      </c>
      <c r="F28"/>
      <c r="I28"/>
      <c r="L28"/>
      <c r="M28"/>
      <c r="N28"/>
    </row>
    <row r="29" spans="1:14" ht="20" customHeight="1">
      <c r="A29" s="1">
        <v>2013</v>
      </c>
      <c r="B29" s="1">
        <v>1</v>
      </c>
      <c r="C29"/>
      <c r="D29" s="11">
        <v>2012</v>
      </c>
      <c r="E29" s="20">
        <v>7</v>
      </c>
      <c r="F29"/>
      <c r="G29" s="9" t="s">
        <v>308</v>
      </c>
      <c r="H29" s="14"/>
      <c r="I29"/>
      <c r="J29"/>
      <c r="K29"/>
      <c r="L29"/>
      <c r="M29"/>
      <c r="N29"/>
    </row>
    <row r="30" spans="1:14" ht="20" customHeight="1">
      <c r="A30" s="1">
        <v>2014</v>
      </c>
      <c r="B30" s="1">
        <v>12</v>
      </c>
      <c r="C30"/>
      <c r="D30" s="11">
        <v>2013</v>
      </c>
      <c r="E30" s="20">
        <v>1</v>
      </c>
      <c r="F30"/>
      <c r="G30" s="9" t="s">
        <v>302</v>
      </c>
      <c r="H30" s="14" t="s">
        <v>299</v>
      </c>
      <c r="I30"/>
      <c r="J30"/>
      <c r="K30"/>
      <c r="L30"/>
      <c r="M30"/>
      <c r="N30"/>
    </row>
    <row r="31" spans="1:14" ht="20" customHeight="1">
      <c r="A31" s="1">
        <v>2015</v>
      </c>
      <c r="B31" s="1">
        <v>3</v>
      </c>
      <c r="C31"/>
      <c r="D31" s="11">
        <v>2014</v>
      </c>
      <c r="E31" s="20">
        <v>12</v>
      </c>
      <c r="F31"/>
      <c r="G31" s="10">
        <v>1970</v>
      </c>
      <c r="H31" s="19">
        <v>4</v>
      </c>
      <c r="I31"/>
      <c r="J31"/>
      <c r="K31"/>
      <c r="L31"/>
      <c r="M31"/>
      <c r="N31"/>
    </row>
    <row r="32" spans="1:14" ht="20" customHeight="1">
      <c r="A32" s="1">
        <v>2016</v>
      </c>
      <c r="B32" s="1">
        <v>5</v>
      </c>
      <c r="C32"/>
      <c r="D32" s="11">
        <v>2015</v>
      </c>
      <c r="E32" s="20">
        <v>3</v>
      </c>
      <c r="F32"/>
      <c r="G32" s="11">
        <v>1980</v>
      </c>
      <c r="H32" s="20">
        <v>37</v>
      </c>
      <c r="I32"/>
      <c r="J32"/>
      <c r="K32"/>
      <c r="L32"/>
      <c r="M32"/>
      <c r="N32"/>
    </row>
    <row r="33" spans="1:14" ht="20" customHeight="1">
      <c r="A33" s="1">
        <v>2017</v>
      </c>
      <c r="B33" s="1">
        <v>4</v>
      </c>
      <c r="C33"/>
      <c r="D33" s="11">
        <v>2016</v>
      </c>
      <c r="E33" s="20">
        <v>5</v>
      </c>
      <c r="F33"/>
      <c r="G33" s="11">
        <v>1990</v>
      </c>
      <c r="H33" s="20">
        <v>47</v>
      </c>
      <c r="I33"/>
      <c r="J33"/>
      <c r="K33"/>
      <c r="L33"/>
      <c r="M33"/>
      <c r="N33"/>
    </row>
    <row r="34" spans="1:14" ht="20" customHeight="1">
      <c r="A34" s="1">
        <v>2018</v>
      </c>
      <c r="B34" s="1">
        <v>1</v>
      </c>
      <c r="C34"/>
      <c r="D34" s="11">
        <v>2017</v>
      </c>
      <c r="E34" s="20">
        <v>4</v>
      </c>
      <c r="F34"/>
      <c r="G34" s="11">
        <v>2000</v>
      </c>
      <c r="H34" s="20">
        <v>26</v>
      </c>
      <c r="I34"/>
      <c r="J34"/>
      <c r="K34"/>
      <c r="L34"/>
      <c r="M34"/>
      <c r="N34"/>
    </row>
    <row r="35" spans="1:14" ht="20" customHeight="1">
      <c r="A35" s="1">
        <v>2019</v>
      </c>
      <c r="B35" s="1">
        <v>5</v>
      </c>
      <c r="C35"/>
      <c r="D35" s="11">
        <v>2018</v>
      </c>
      <c r="E35" s="20">
        <v>1</v>
      </c>
      <c r="F35"/>
      <c r="G35" s="11">
        <v>2010</v>
      </c>
      <c r="H35" s="20">
        <v>84</v>
      </c>
      <c r="I35"/>
      <c r="J35"/>
      <c r="K35"/>
      <c r="L35"/>
      <c r="M35"/>
      <c r="N35"/>
    </row>
    <row r="36" spans="1:14" ht="20" customHeight="1">
      <c r="A36" s="1">
        <v>2020</v>
      </c>
      <c r="B36" s="1">
        <v>19</v>
      </c>
      <c r="C36"/>
      <c r="D36" s="11">
        <v>2019</v>
      </c>
      <c r="E36" s="20">
        <v>5</v>
      </c>
      <c r="F36"/>
      <c r="G36" s="11">
        <v>2020</v>
      </c>
      <c r="H36" s="20">
        <v>141</v>
      </c>
      <c r="I36"/>
      <c r="J36"/>
      <c r="K36"/>
      <c r="L36"/>
      <c r="M36"/>
      <c r="N36"/>
    </row>
    <row r="37" spans="1:14" ht="20" customHeight="1">
      <c r="A37" s="1">
        <v>2021</v>
      </c>
      <c r="B37" s="1">
        <v>43</v>
      </c>
      <c r="C37"/>
      <c r="D37" s="11">
        <v>2020</v>
      </c>
      <c r="E37" s="20">
        <v>19</v>
      </c>
      <c r="F37"/>
      <c r="G37" s="11" t="s">
        <v>284</v>
      </c>
      <c r="H37" s="20"/>
      <c r="I37"/>
      <c r="J37"/>
      <c r="K37"/>
      <c r="L37"/>
      <c r="M37"/>
      <c r="N37"/>
    </row>
    <row r="38" spans="1:14" ht="20" customHeight="1">
      <c r="A38" s="1">
        <v>2022</v>
      </c>
      <c r="B38" s="1">
        <v>9</v>
      </c>
      <c r="C38"/>
      <c r="D38" s="11">
        <v>2021</v>
      </c>
      <c r="E38" s="20">
        <v>43</v>
      </c>
      <c r="F38"/>
      <c r="G38" s="12" t="s">
        <v>285</v>
      </c>
      <c r="H38" s="21">
        <v>339</v>
      </c>
      <c r="I38"/>
      <c r="J38"/>
      <c r="K38"/>
      <c r="L38"/>
      <c r="M38"/>
      <c r="N38"/>
    </row>
    <row r="39" spans="1:14" ht="20" customHeight="1">
      <c r="A39" s="1">
        <v>2023</v>
      </c>
      <c r="B39" s="1">
        <v>25</v>
      </c>
      <c r="C39"/>
      <c r="D39" s="11">
        <v>2022</v>
      </c>
      <c r="E39" s="20">
        <v>9</v>
      </c>
      <c r="F39"/>
      <c r="I39"/>
      <c r="J39"/>
      <c r="K39"/>
      <c r="L39"/>
      <c r="M39"/>
      <c r="N39"/>
    </row>
    <row r="40" spans="1:14" ht="20" customHeight="1">
      <c r="A40" s="1">
        <v>2024</v>
      </c>
      <c r="B40" s="1">
        <v>14</v>
      </c>
      <c r="C40"/>
      <c r="D40" s="11">
        <v>2023</v>
      </c>
      <c r="E40" s="20">
        <v>25</v>
      </c>
      <c r="F40"/>
      <c r="I40"/>
      <c r="J40"/>
      <c r="K40"/>
      <c r="L40"/>
      <c r="M40"/>
      <c r="N40"/>
    </row>
    <row r="41" spans="1:14" ht="20" customHeight="1">
      <c r="A41" s="1">
        <v>2025</v>
      </c>
      <c r="B41" s="1">
        <v>31</v>
      </c>
      <c r="C41"/>
      <c r="D41" s="11">
        <v>2024</v>
      </c>
      <c r="E41" s="20">
        <v>14</v>
      </c>
      <c r="F41"/>
      <c r="I41"/>
      <c r="J41"/>
      <c r="K41"/>
      <c r="L41"/>
      <c r="M41"/>
      <c r="N41"/>
    </row>
    <row r="42" spans="1:14" ht="20" customHeight="1">
      <c r="A42" s="1" t="s">
        <v>284</v>
      </c>
      <c r="C42"/>
      <c r="D42" s="11">
        <v>2025</v>
      </c>
      <c r="E42" s="20">
        <v>31</v>
      </c>
      <c r="F42"/>
      <c r="I42"/>
      <c r="J42"/>
      <c r="K42"/>
      <c r="L42"/>
      <c r="M42"/>
      <c r="N42"/>
    </row>
    <row r="43" spans="1:14" ht="20" customHeight="1">
      <c r="A43" s="1" t="s">
        <v>285</v>
      </c>
      <c r="B43" s="1">
        <v>339</v>
      </c>
      <c r="C43"/>
      <c r="D43" s="11" t="s">
        <v>284</v>
      </c>
      <c r="E43" s="20"/>
      <c r="F43"/>
      <c r="I43"/>
      <c r="L43"/>
      <c r="M43"/>
      <c r="N43"/>
    </row>
    <row r="44" spans="1:14" ht="20" customHeight="1">
      <c r="A44"/>
      <c r="B44"/>
      <c r="C44"/>
      <c r="D44" s="12" t="s">
        <v>285</v>
      </c>
      <c r="E44" s="21">
        <v>339</v>
      </c>
      <c r="F44"/>
      <c r="I44"/>
      <c r="L44"/>
      <c r="M44"/>
      <c r="N44"/>
    </row>
    <row r="45" spans="1:14" ht="20" customHeight="1">
      <c r="A45"/>
      <c r="B45"/>
      <c r="C45"/>
      <c r="F45"/>
      <c r="I45"/>
      <c r="L45"/>
      <c r="M45"/>
      <c r="N45"/>
    </row>
    <row r="46" spans="1:14" ht="20" customHeight="1">
      <c r="A46"/>
      <c r="B46"/>
      <c r="C46"/>
      <c r="F46"/>
      <c r="I46"/>
      <c r="L46"/>
      <c r="M46"/>
      <c r="N46"/>
    </row>
    <row r="47" spans="1:14" ht="20" customHeight="1">
      <c r="A47"/>
      <c r="B47"/>
      <c r="C47"/>
      <c r="F47"/>
      <c r="I47"/>
      <c r="L47"/>
      <c r="M47"/>
      <c r="N47"/>
    </row>
    <row r="48" spans="1:14" ht="20" customHeight="1">
      <c r="A48"/>
      <c r="B48"/>
      <c r="C48"/>
      <c r="I48"/>
      <c r="L48"/>
      <c r="M48"/>
      <c r="N48"/>
    </row>
    <row r="49" spans="1:3" ht="20" customHeight="1">
      <c r="A49"/>
      <c r="B49"/>
      <c r="C49"/>
    </row>
    <row r="50" spans="1:3" ht="20" customHeight="1">
      <c r="A50"/>
      <c r="B50"/>
      <c r="C50"/>
    </row>
    <row r="51" spans="1:3" ht="20" customHeight="1">
      <c r="A51"/>
      <c r="B51"/>
      <c r="C51"/>
    </row>
    <row r="52" spans="1:3" ht="20" customHeight="1">
      <c r="A52"/>
      <c r="B52"/>
      <c r="C52"/>
    </row>
    <row r="53" spans="1:3" ht="20" customHeight="1">
      <c r="A53"/>
      <c r="B53"/>
      <c r="C53"/>
    </row>
    <row r="54" spans="1:3" ht="20" customHeight="1">
      <c r="A54"/>
      <c r="B54"/>
      <c r="C54"/>
    </row>
    <row r="55" spans="1:3" ht="20" customHeight="1">
      <c r="A55"/>
      <c r="B55"/>
      <c r="C55"/>
    </row>
    <row r="56" spans="1:3" ht="20" customHeight="1">
      <c r="A56"/>
      <c r="B56"/>
      <c r="C56"/>
    </row>
    <row r="57" spans="1:3" ht="20" customHeight="1">
      <c r="A57"/>
      <c r="B57"/>
      <c r="C57"/>
    </row>
    <row r="58" spans="1:3" ht="20" customHeight="1">
      <c r="A58"/>
      <c r="B58"/>
      <c r="C58"/>
    </row>
    <row r="59" spans="1:3" ht="20" customHeight="1">
      <c r="A59"/>
      <c r="B59"/>
      <c r="C59"/>
    </row>
    <row r="60" spans="1:3" ht="20" customHeight="1">
      <c r="A60"/>
      <c r="B60"/>
      <c r="C60"/>
    </row>
    <row r="61" spans="1:3" ht="20" customHeight="1">
      <c r="A61"/>
      <c r="B61"/>
      <c r="C61"/>
    </row>
    <row r="62" spans="1:3" ht="20" customHeight="1">
      <c r="A62"/>
      <c r="B62"/>
      <c r="C62"/>
    </row>
    <row r="63" spans="1:3" ht="20" customHeight="1">
      <c r="A63"/>
      <c r="B63"/>
      <c r="C63"/>
    </row>
    <row r="64" spans="1:3" ht="20" customHeight="1">
      <c r="A64"/>
      <c r="B64"/>
      <c r="C64"/>
    </row>
    <row r="65" spans="1:3" ht="20" customHeight="1">
      <c r="A65"/>
      <c r="B65"/>
      <c r="C65"/>
    </row>
    <row r="66" spans="1:3" ht="20" customHeight="1">
      <c r="A66"/>
      <c r="B66"/>
      <c r="C66"/>
    </row>
    <row r="67" spans="1:3" ht="20" customHeight="1">
      <c r="A67"/>
      <c r="B67"/>
      <c r="C67"/>
    </row>
    <row r="68" spans="1:3" ht="20" customHeight="1">
      <c r="A68"/>
      <c r="B68"/>
      <c r="C68"/>
    </row>
    <row r="69" spans="1:3" ht="20" customHeight="1">
      <c r="A69"/>
      <c r="B69"/>
      <c r="C69"/>
    </row>
    <row r="70" spans="1:3" ht="20" customHeight="1">
      <c r="A70"/>
      <c r="B70"/>
      <c r="C70"/>
    </row>
    <row r="71" spans="1:3" ht="20" customHeight="1">
      <c r="A71"/>
      <c r="B71"/>
      <c r="C71"/>
    </row>
    <row r="72" spans="1:3" ht="20" customHeight="1">
      <c r="A72"/>
      <c r="B72"/>
      <c r="C72"/>
    </row>
    <row r="73" spans="1:3" ht="20" customHeight="1">
      <c r="A73"/>
      <c r="B73"/>
      <c r="C73"/>
    </row>
    <row r="74" spans="1:3" ht="20" customHeight="1">
      <c r="A74"/>
      <c r="B74"/>
      <c r="C74"/>
    </row>
    <row r="75" spans="1:3" ht="20" customHeight="1">
      <c r="A75"/>
      <c r="B75"/>
      <c r="C75"/>
    </row>
    <row r="76" spans="1:3" ht="20" customHeight="1">
      <c r="A76"/>
      <c r="B76"/>
      <c r="C76"/>
    </row>
    <row r="77" spans="1:3" ht="20" customHeight="1">
      <c r="A77"/>
      <c r="B77"/>
      <c r="C77"/>
    </row>
    <row r="78" spans="1:3" ht="20" customHeight="1">
      <c r="A78"/>
      <c r="B78"/>
      <c r="C78"/>
    </row>
    <row r="79" spans="1:3" ht="20" customHeight="1">
      <c r="A79"/>
      <c r="B79"/>
      <c r="C79"/>
    </row>
    <row r="80" spans="1:3" ht="20" customHeight="1">
      <c r="A80"/>
      <c r="B80"/>
      <c r="C80"/>
    </row>
    <row r="81" spans="1:3" ht="20" customHeight="1">
      <c r="A81"/>
      <c r="B81"/>
      <c r="C81"/>
    </row>
    <row r="82" spans="1:3" ht="20" customHeight="1">
      <c r="A82"/>
      <c r="B82"/>
      <c r="C82"/>
    </row>
    <row r="83" spans="1:3" ht="20" customHeight="1">
      <c r="A83"/>
      <c r="B83"/>
      <c r="C83"/>
    </row>
    <row r="84" spans="1:3" ht="20" customHeight="1">
      <c r="A84"/>
      <c r="B84"/>
      <c r="C84"/>
    </row>
    <row r="85" spans="1:3" ht="20" customHeight="1">
      <c r="A85"/>
      <c r="B85"/>
      <c r="C85"/>
    </row>
    <row r="86" spans="1:3" ht="20" customHeight="1">
      <c r="A86"/>
      <c r="B86"/>
      <c r="C86"/>
    </row>
    <row r="87" spans="1:3" ht="20" customHeight="1">
      <c r="A87"/>
      <c r="B87"/>
      <c r="C87"/>
    </row>
    <row r="88" spans="1:3" ht="20" customHeight="1">
      <c r="A88"/>
      <c r="B88"/>
      <c r="C88"/>
    </row>
    <row r="89" spans="1:3" ht="20" customHeight="1">
      <c r="A89"/>
      <c r="B89"/>
      <c r="C89"/>
    </row>
    <row r="90" spans="1:3" ht="20" customHeight="1">
      <c r="A90"/>
      <c r="B90"/>
      <c r="C90"/>
    </row>
    <row r="91" spans="1:3" ht="20" customHeight="1">
      <c r="A91"/>
      <c r="B91"/>
      <c r="C91"/>
    </row>
    <row r="92" spans="1:3" ht="20" customHeight="1">
      <c r="A92"/>
      <c r="B92"/>
      <c r="C92"/>
    </row>
    <row r="93" spans="1:3" ht="20" customHeight="1">
      <c r="A93"/>
      <c r="B93"/>
      <c r="C93"/>
    </row>
    <row r="94" spans="1:3" ht="20" customHeight="1">
      <c r="A94"/>
      <c r="B94"/>
      <c r="C94"/>
    </row>
    <row r="95" spans="1:3" ht="20" customHeight="1">
      <c r="A95"/>
      <c r="B95"/>
      <c r="C95"/>
    </row>
    <row r="96" spans="1:3" ht="20" customHeight="1">
      <c r="A96"/>
      <c r="B96"/>
      <c r="C96"/>
    </row>
    <row r="97" spans="1:3" ht="20" customHeight="1">
      <c r="A97"/>
      <c r="B97"/>
      <c r="C97"/>
    </row>
    <row r="98" spans="1:3" ht="20" customHeight="1">
      <c r="A98"/>
      <c r="B98"/>
      <c r="C98"/>
    </row>
    <row r="99" spans="1:3" ht="20" customHeight="1">
      <c r="A99"/>
      <c r="B99"/>
      <c r="C99"/>
    </row>
    <row r="100" spans="1:3" ht="20" customHeight="1">
      <c r="A100"/>
      <c r="B100"/>
      <c r="C100"/>
    </row>
    <row r="101" spans="1:3" ht="20" customHeight="1">
      <c r="A101"/>
      <c r="B101"/>
      <c r="C101"/>
    </row>
    <row r="102" spans="1:3" ht="20" customHeight="1">
      <c r="A102"/>
      <c r="B102"/>
      <c r="C102"/>
    </row>
    <row r="103" spans="1:3" ht="20" customHeight="1">
      <c r="A103"/>
      <c r="B103"/>
      <c r="C103"/>
    </row>
    <row r="104" spans="1:3" ht="20" customHeight="1">
      <c r="A104"/>
      <c r="B104"/>
      <c r="C104"/>
    </row>
    <row r="105" spans="1:3" ht="20" customHeight="1">
      <c r="A105"/>
      <c r="B105"/>
      <c r="C105"/>
    </row>
    <row r="106" spans="1:3" ht="20" customHeight="1">
      <c r="A106"/>
      <c r="B106"/>
      <c r="C106"/>
    </row>
    <row r="107" spans="1:3" ht="20" customHeight="1">
      <c r="A107"/>
      <c r="B107"/>
      <c r="C107"/>
    </row>
    <row r="108" spans="1:3" ht="20" customHeight="1">
      <c r="A108"/>
      <c r="B108"/>
      <c r="C108"/>
    </row>
    <row r="109" spans="1:3" ht="20" customHeight="1">
      <c r="A109"/>
      <c r="B109"/>
      <c r="C109"/>
    </row>
    <row r="110" spans="1:3" ht="20" customHeight="1">
      <c r="A110"/>
      <c r="B110"/>
      <c r="C110"/>
    </row>
    <row r="111" spans="1:3" ht="20" customHeight="1">
      <c r="A111"/>
      <c r="B111"/>
      <c r="C111"/>
    </row>
    <row r="112" spans="1:3" ht="20" customHeight="1">
      <c r="A112"/>
      <c r="B112"/>
      <c r="C112"/>
    </row>
    <row r="113" spans="1:3" ht="20" customHeight="1">
      <c r="A113"/>
      <c r="B113"/>
      <c r="C113"/>
    </row>
    <row r="114" spans="1:3" ht="20" customHeight="1">
      <c r="A114"/>
      <c r="B114"/>
      <c r="C114"/>
    </row>
    <row r="115" spans="1:3" ht="20" customHeight="1">
      <c r="A115"/>
      <c r="B115"/>
      <c r="C115"/>
    </row>
    <row r="116" spans="1:3" ht="20" customHeight="1">
      <c r="A116"/>
      <c r="B116"/>
      <c r="C116"/>
    </row>
    <row r="117" spans="1:3" ht="20" customHeight="1">
      <c r="A117"/>
      <c r="B117"/>
      <c r="C117"/>
    </row>
    <row r="118" spans="1:3" ht="20" customHeight="1">
      <c r="A118"/>
      <c r="B118"/>
      <c r="C118"/>
    </row>
    <row r="119" spans="1:3" ht="20" customHeight="1">
      <c r="A119"/>
      <c r="B119"/>
      <c r="C119"/>
    </row>
    <row r="120" spans="1:3" ht="20" customHeight="1">
      <c r="A120"/>
      <c r="B120"/>
      <c r="C120"/>
    </row>
    <row r="121" spans="1:3" ht="20" customHeight="1">
      <c r="A121"/>
      <c r="B121"/>
      <c r="C121"/>
    </row>
    <row r="122" spans="1:3" ht="20" customHeight="1">
      <c r="A122"/>
      <c r="B122"/>
      <c r="C122"/>
    </row>
    <row r="123" spans="1:3" ht="20" customHeight="1">
      <c r="A123"/>
      <c r="B123"/>
      <c r="C123"/>
    </row>
    <row r="124" spans="1:3" ht="20" customHeight="1">
      <c r="A124"/>
      <c r="B124"/>
      <c r="C124"/>
    </row>
    <row r="125" spans="1:3" ht="20" customHeight="1">
      <c r="A125"/>
      <c r="B125"/>
      <c r="C125"/>
    </row>
    <row r="126" spans="1:3" ht="20" customHeight="1">
      <c r="A126"/>
      <c r="B126"/>
      <c r="C126"/>
    </row>
    <row r="127" spans="1:3" ht="20" customHeight="1">
      <c r="A127"/>
      <c r="B127"/>
      <c r="C127"/>
    </row>
    <row r="128" spans="1:3" ht="20" customHeight="1">
      <c r="A128"/>
      <c r="B128"/>
      <c r="C128"/>
    </row>
    <row r="129" spans="1:3" ht="20" customHeight="1">
      <c r="A129"/>
      <c r="B129"/>
      <c r="C129"/>
    </row>
    <row r="130" spans="1:3" ht="20" customHeight="1">
      <c r="A130"/>
      <c r="B130"/>
      <c r="C130"/>
    </row>
    <row r="131" spans="1:3" ht="20" customHeight="1">
      <c r="A131"/>
      <c r="B131"/>
      <c r="C131"/>
    </row>
    <row r="132" spans="1:3" ht="20" customHeight="1">
      <c r="A132"/>
      <c r="B132"/>
      <c r="C132"/>
    </row>
    <row r="133" spans="1:3" ht="20" customHeight="1">
      <c r="A133"/>
      <c r="B133"/>
      <c r="C133"/>
    </row>
    <row r="134" spans="1:3" ht="20" customHeight="1">
      <c r="A134"/>
      <c r="B134"/>
      <c r="C134"/>
    </row>
    <row r="135" spans="1:3" ht="20" customHeight="1">
      <c r="A135"/>
      <c r="B135"/>
      <c r="C135"/>
    </row>
    <row r="136" spans="1:3" ht="20" customHeight="1">
      <c r="A136"/>
      <c r="B136"/>
      <c r="C136"/>
    </row>
    <row r="137" spans="1:3" ht="20" customHeight="1">
      <c r="A137"/>
      <c r="B137"/>
      <c r="C137"/>
    </row>
    <row r="138" spans="1:3" ht="20" customHeight="1">
      <c r="A138"/>
      <c r="B138"/>
      <c r="C138"/>
    </row>
    <row r="139" spans="1:3" ht="20" customHeight="1">
      <c r="A139"/>
      <c r="B139"/>
      <c r="C139"/>
    </row>
    <row r="140" spans="1:3" ht="20" customHeight="1">
      <c r="A140"/>
      <c r="B140"/>
      <c r="C140"/>
    </row>
    <row r="141" spans="1:3" ht="20" customHeight="1">
      <c r="A141"/>
      <c r="B141"/>
      <c r="C141"/>
    </row>
    <row r="142" spans="1:3" ht="20" customHeight="1">
      <c r="A142"/>
      <c r="B142"/>
      <c r="C142"/>
    </row>
    <row r="143" spans="1:3" ht="20" customHeight="1">
      <c r="A143"/>
      <c r="B143"/>
      <c r="C143"/>
    </row>
    <row r="144" spans="1:3" ht="20" customHeight="1">
      <c r="A144"/>
      <c r="B144"/>
      <c r="C144"/>
    </row>
    <row r="145" spans="1:3" ht="20" customHeight="1">
      <c r="A145"/>
      <c r="B145"/>
      <c r="C145"/>
    </row>
    <row r="146" spans="1:3" ht="20" customHeight="1">
      <c r="A146"/>
      <c r="B146"/>
      <c r="C146"/>
    </row>
    <row r="147" spans="1:3" ht="20" customHeight="1">
      <c r="A147"/>
      <c r="B147"/>
      <c r="C147"/>
    </row>
    <row r="148" spans="1:3" ht="20" customHeight="1">
      <c r="A148"/>
      <c r="B148"/>
      <c r="C148"/>
    </row>
    <row r="149" spans="1:3" ht="20" customHeight="1">
      <c r="A149"/>
      <c r="B149"/>
      <c r="C149"/>
    </row>
    <row r="150" spans="1:3" ht="20" customHeight="1">
      <c r="A150"/>
      <c r="B150"/>
      <c r="C150"/>
    </row>
    <row r="151" spans="1:3" ht="20" customHeight="1">
      <c r="A151"/>
      <c r="B151"/>
      <c r="C151"/>
    </row>
    <row r="152" spans="1:3" ht="20" customHeight="1">
      <c r="A152"/>
      <c r="B152"/>
      <c r="C152"/>
    </row>
    <row r="153" spans="1:3" ht="20" customHeight="1">
      <c r="A153"/>
      <c r="B153"/>
      <c r="C153"/>
    </row>
    <row r="154" spans="1:3" ht="20" customHeight="1">
      <c r="A154"/>
      <c r="B154"/>
      <c r="C154"/>
    </row>
    <row r="155" spans="1:3" ht="20" customHeight="1">
      <c r="A155"/>
      <c r="B155"/>
      <c r="C155"/>
    </row>
    <row r="156" spans="1:3" ht="20" customHeight="1">
      <c r="A156"/>
      <c r="B156"/>
      <c r="C156"/>
    </row>
    <row r="157" spans="1:3" ht="20" customHeight="1">
      <c r="A157"/>
      <c r="B157"/>
      <c r="C157"/>
    </row>
    <row r="158" spans="1:3" ht="20" customHeight="1">
      <c r="A158"/>
      <c r="B158"/>
      <c r="C158"/>
    </row>
    <row r="159" spans="1:3" ht="20" customHeight="1">
      <c r="A159"/>
      <c r="B159"/>
      <c r="C159"/>
    </row>
    <row r="160" spans="1:3" ht="20" customHeight="1">
      <c r="A160"/>
      <c r="B160"/>
      <c r="C160"/>
    </row>
    <row r="161" spans="1:3" ht="20" customHeight="1">
      <c r="A161"/>
      <c r="B161"/>
      <c r="C161"/>
    </row>
    <row r="162" spans="1:3" ht="20" customHeight="1">
      <c r="A162"/>
      <c r="B162"/>
      <c r="C162"/>
    </row>
    <row r="163" spans="1:3" ht="20" customHeight="1">
      <c r="A163"/>
      <c r="B163"/>
      <c r="C163"/>
    </row>
    <row r="164" spans="1:3" ht="20" customHeight="1">
      <c r="A164"/>
      <c r="B164"/>
      <c r="C164"/>
    </row>
    <row r="165" spans="1:3" ht="20" customHeight="1">
      <c r="A165"/>
      <c r="B165"/>
      <c r="C165"/>
    </row>
    <row r="166" spans="1:3" ht="20" customHeight="1">
      <c r="A166"/>
      <c r="B166"/>
      <c r="C166"/>
    </row>
    <row r="167" spans="1:3" ht="20" customHeight="1">
      <c r="A167"/>
      <c r="B167"/>
      <c r="C167"/>
    </row>
    <row r="168" spans="1:3" ht="20" customHeight="1">
      <c r="A168"/>
      <c r="B168"/>
      <c r="C168"/>
    </row>
    <row r="169" spans="1:3" ht="20" customHeight="1">
      <c r="A169"/>
      <c r="B169"/>
      <c r="C169"/>
    </row>
    <row r="170" spans="1:3" ht="20" customHeight="1">
      <c r="A170"/>
      <c r="B170"/>
      <c r="C170"/>
    </row>
  </sheetData>
  <phoneticPr fontId="2" type="noConversion"/>
  <pageMargins left="0.7" right="0.7" top="0.75" bottom="0.75" header="0.3" footer="0.3"/>
  <pageSetup paperSize="11" orientation="portrait" horizontalDpi="0" verticalDpi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0CB4-D3C3-774F-BC0B-B73CF2AA2F31}">
  <dimension ref="A1"/>
  <sheetViews>
    <sheetView zoomScaleNormal="100" zoomScaleSheetLayoutView="65" workbookViewId="0"/>
  </sheetViews>
  <sheetFormatPr baseColWidth="10" defaultRowHeight="25" customHeight="1"/>
  <sheetData/>
  <phoneticPr fontId="2" type="noConversion"/>
  <pageMargins left="0.2" right="0.2" top="0.5" bottom="0.5" header="0" footer="0"/>
  <pageSetup paperSize="11" scale="58" orientation="portrait" horizontalDpi="0" verticalDpi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mulu</vt:lpstr>
      <vt:lpstr>Pivot</vt:lpstr>
      <vt:lpstr>Chart</vt:lpstr>
      <vt:lpstr>Chart!Print_Area</vt:lpstr>
      <vt:lpstr>mulu!Print_Area</vt:lpstr>
      <vt:lpstr>mulu!Print_Titles</vt:lpstr>
    </vt:vector>
  </TitlesOfParts>
  <Manager>Jason Zhu</Manager>
  <Company>Dockerian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Poetry Chart</dc:title>
  <dc:subject>Poetry</dc:subject>
  <dc:creator>Jason Zhu</dc:creator>
  <cp:keywords>poetry,舟山,诗词,statistics,shiji,chart</cp:keywords>
  <dc:description>Poetry index and chart｜舟山诗词数据统计表</dc:description>
  <cp:lastModifiedBy>Jason Zhu</cp:lastModifiedBy>
  <dcterms:created xsi:type="dcterms:W3CDTF">2025-11-17T20:57:33Z</dcterms:created>
  <dcterms:modified xsi:type="dcterms:W3CDTF">2025-12-28T13:00:02Z</dcterms:modified>
  <cp:category>Poetry</cp:category>
</cp:coreProperties>
</file>